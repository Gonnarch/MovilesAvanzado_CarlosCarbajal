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12b7ee735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TS" sheetId="1" r:id="R60c23e0ff67d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7">
    <x:font>
      <x:sz val="11"/>
      <x:name val="Carlito"/>
    </x:font>
    <x:font>
      <x:sz val="11"/>
      <x:name val="Arial"/>
    </x:font>
    <x:font>
      <x:b/>
      <x:sz val="17"/>
      <x:name val="Arial"/>
    </x:font>
    <x:font>
      <x:b/>
      <x:sz val="11"/>
      <x:color rgb="FFFFFFFF"/>
      <x:name val="Arial"/>
    </x:font>
    <x:font>
      <x:sz val="11"/>
      <x:color rgb="FF185ABD"/>
      <x:name val="Arial"/>
    </x:font>
    <x:font>
      <x:sz val="11"/>
      <x:color rgb="FF56677A"/>
      <x:name val="Arial"/>
    </x:font>
    <x:font>
      <x:sz val="10"/>
      <x:color rgb="FF596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6EEF7"/>
      </x:patternFill>
    </x:fill>
    <x:fill>
      <x:patternFill patternType="solid">
        <x:fgColor rgb="FF243B53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2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766263b4b4610" /><Relationship Type="http://schemas.openxmlformats.org/officeDocument/2006/relationships/theme" Target="/xl/theme/theme1.xml" Id="R439f3f238a4c4fe7" /><Relationship Type="http://schemas.openxmlformats.org/officeDocument/2006/relationships/sharedStrings" Target="/xl/sharedStrings.xml" Id="R80a067b2a1c643c9" /><Relationship Type="http://schemas.openxmlformats.org/officeDocument/2006/relationships/worksheet" Target="/xl/worksheets/sheet1.xml" Id="R60c23e0ff67d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3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2" t="str">
        <x:v>Calculadora de CTS</x:v>
      </x:c>
      <x:c r="B2" s="1"/>
      <x:c r="C2" s="1"/>
      <x:c r="D2" s="1"/>
      <x:c r="E2" s="1"/>
      <x:c r="F2" s="1"/>
      <x:c r="G2" s="1"/>
      <x:c r="H2" s="1"/>
      <x:c r="I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5" customHeight="1">
      <x:c r="A4" s="3" t="str">
        <x:v>CTS estimada (S/)</x:v>
      </x:c>
      <x:c r="B4" s="13" t="n">
        <x:f>IF(B5="CALCULADO",ROUND(B28*B30/360,2),"")</x:f>
        <x:v>1750</x:v>
      </x:c>
      <x:c r="C4" s="1"/>
      <x:c r="D4" s="1"/>
      <x:c r="E4" s="1"/>
      <x:c r="F4" s="1"/>
      <x:c r="G4" s="1"/>
      <x:c r="H4" s="1"/>
      <x:c r="I4" s="1"/>
    </x:row>
    <x:row r="5" ht="25" customHeight="1">
      <x:c r="A5" s="1"/>
      <x:c r="B5" s="14" t="str">
        <x:f>IF(D31&lt;&gt;"OK",D31,IF(D32&lt;&gt;"OK",D32,IF(D33&lt;&gt;"OK",D33,IF(D34&lt;&gt;"OK",D34,"CALCULADO"))))</x:f>
        <x:v>CALCULADO</x:v>
      </x:c>
      <x:c r="C5" s="1"/>
      <x:c r="D5" s="1"/>
      <x:c r="E5" s="1"/>
      <x:c r="F5" s="1"/>
      <x:c r="G5" s="1"/>
      <x:c r="H5" s="1"/>
      <x:c r="I5" s="1"/>
    </x:row>
    <x:row r="6" ht="25" customHeight="1">
      <x:c r="A6" s="6" t="str">
        <x:v>Información del período</x:v>
      </x:c>
      <x:c r="B6" s="6"/>
      <x:c r="C6" s="1"/>
      <x:c r="D6" s="1"/>
      <x:c r="E6" s="1"/>
      <x:c r="F6" s="1"/>
      <x:c r="G6" s="1"/>
      <x:c r="H6" s="1"/>
      <x:c r="I6" s="1"/>
    </x:row>
    <x:row r="7" ht="25" customHeight="1">
      <x:c r="A7" s="1" t="str">
        <x:v>Año del depósito</x:v>
      </x:c>
      <x:c r="B7" s="8" t="n">
        <x:v>2026</x:v>
      </x:c>
      <x:c r="C7" s="1"/>
      <x:c r="D7" s="1" t="str">
        <x:v>Edita las celdas amarillas.</x:v>
      </x:c>
      <x:c r="E7" s="1"/>
      <x:c r="F7" s="1"/>
      <x:c r="G7" s="1"/>
      <x:c r="H7" s="1"/>
      <x:c r="I7" s="1"/>
    </x:row>
    <x:row r="8" ht="25" customHeight="1">
      <x:c r="A8" s="1" t="str">
        <x:v>Depósito de CTS</x:v>
      </x:c>
      <x:c r="B8" s="8" t="str">
        <x:v>Noviembre</x:v>
      </x:c>
      <x:c r="C8" s="1"/>
      <x:c r="D8" s="1" t="str">
        <x:v>El resultado se actualiza sin pulsar botones.</x:v>
      </x:c>
      <x:c r="E8" s="1"/>
      <x:c r="F8" s="1"/>
      <x:c r="G8" s="1"/>
      <x:c r="H8" s="1"/>
      <x:c r="I8" s="1"/>
    </x:row>
    <x:row r="9" ht="25" customHeight="1">
      <x:c r="A9" s="1" t="str">
        <x:v>Fecha de ingreso</x:v>
      </x:c>
      <x:c r="B9" s="9" t="n">
        <x:v>46023</x:v>
      </x:c>
      <x:c r="C9" s="1"/>
      <x:c r="D9" s="1"/>
      <x:c r="E9" s="1"/>
      <x:c r="F9" s="1"/>
      <x:c r="G9" s="1"/>
      <x:c r="H9" s="1"/>
      <x:c r="I9" s="1"/>
    </x:row>
    <x:row r="10" ht="25" customHeight="1">
      <x:c r="A10" s="1" t="str">
        <x:v>Días NO computables del semestre</x:v>
      </x:c>
      <x:c r="B10" s="8" t="n">
        <x:v>0</x:v>
      </x:c>
      <x:c r="C10" s="1"/>
      <x:c r="D10" s="1" t="str">
        <x:v>Estimada: cambia con el sueldo y los datos históricos.</x:v>
      </x:c>
      <x:c r="E10" s="1"/>
      <x:c r="F10" s="1"/>
      <x:c r="G10" s="1"/>
      <x:c r="H10" s="1"/>
      <x:c r="I10" s="1"/>
    </x:row>
    <x:row r="11" ht="25" customHeight="1">
      <x:c r="A11" s="1" t="str">
        <x:v>Tiempo: Fechas o Manual</x:v>
      </x:c>
      <x:c r="B11" s="8" t="str">
        <x:v>Fechas</x:v>
      </x:c>
      <x:c r="C11" s="1"/>
      <x:c r="D11" s="1" t="str">
        <x:v>Percibida: usa el importe real de B20, sin bono extraordinario.</x:v>
      </x:c>
      <x:c r="E11" s="1"/>
      <x:c r="F11" s="1"/>
      <x:c r="G11" s="1"/>
      <x:c r="H11" s="1"/>
      <x:c r="I11" s="1"/>
    </x:row>
    <x:row r="12" ht="25" customHeight="1">
      <x:c r="A12" s="1" t="str">
        <x:v>Meses CTS (solo modo Manual)</x:v>
      </x:c>
      <x:c r="B12" s="8" t="n">
        <x:v>6</x:v>
      </x:c>
      <x:c r="C12" s="1"/>
      <x:c r="D12" s="1" t="str">
        <x:v>Los meses de gratificación se ingresan por separado en B21.</x:v>
      </x:c>
      <x:c r="E12" s="1"/>
      <x:c r="F12" s="1"/>
      <x:c r="G12" s="1"/>
      <x:c r="H12" s="1"/>
      <x:c r="I12" s="1"/>
    </x:row>
    <x:row r="13" ht="25" customHeight="1">
      <x:c r="A13" s="1" t="str">
        <x:v>Días extra CTS (solo modo Manual)</x:v>
      </x:c>
      <x:c r="B13" s="8" t="n">
        <x:v>0</x:v>
      </x:c>
      <x:c r="C13" s="1"/>
      <x:c r="D13" s="1"/>
      <x:c r="E13" s="1"/>
      <x:c r="F13" s="1"/>
      <x:c r="G13" s="1"/>
      <x:c r="H13" s="1"/>
      <x:c r="I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</x:row>
    <x:row r="15" ht="25" customHeight="1">
      <x:c r="A15" s="6" t="str">
        <x:v>Remuneración</x:v>
      </x:c>
      <x:c r="B15" s="6"/>
      <x:c r="C15" s="1"/>
      <x:c r="D15" s="6" t="str">
        <x:v>Variables complementarias</x:v>
      </x:c>
      <x:c r="E15" s="6"/>
      <x:c r="F15" s="6"/>
      <x:c r="G15" s="6"/>
      <x:c r="H15" s="6"/>
      <x:c r="I15" s="6"/>
    </x:row>
    <x:row r="16" ht="25" customHeight="1">
      <x:c r="A16" s="1" t="str">
        <x:v>Sueldo básico (S/)</x:v>
      </x:c>
      <x:c r="B16" s="10" t="n">
        <x:v>3000</x:v>
      </x:c>
      <x:c r="C16" s="1"/>
      <x:c r="D16" s="1"/>
      <x:c r="E16" s="1"/>
      <x:c r="F16" s="1"/>
      <x:c r="G16" s="1"/>
      <x:c r="H16" s="1"/>
      <x:c r="I16" s="1"/>
    </x:row>
    <x:row r="17" ht="25" customHeight="1">
      <x:c r="A17" s="1" t="str">
        <x:v>Asignación familiar para CTS (S/)</x:v>
      </x:c>
      <x:c r="B17" s="10" t="n">
        <x:v>0</x:v>
      </x:c>
      <x:c r="C17" s="1"/>
      <x:c r="D17" s="1" t="str">
        <x:v>Mes 1</x:v>
      </x:c>
      <x:c r="E17" s="1" t="str">
        <x:v>Mes 2</x:v>
      </x:c>
      <x:c r="F17" s="1" t="str">
        <x:v>Mes 3</x:v>
      </x:c>
      <x:c r="G17" s="1" t="str">
        <x:v>Mes 4</x:v>
      </x:c>
      <x:c r="H17" s="1" t="str">
        <x:v>Mes 5</x:v>
      </x:c>
      <x:c r="I17" s="1" t="str">
        <x:v>Mes 6</x:v>
      </x:c>
    </x:row>
    <x:row r="18" ht="25" customHeight="1">
      <x:c r="A18" s="1" t="str">
        <x:v>Otros fijos mensuales para CTS (S/)</x:v>
      </x:c>
      <x:c r="B18" s="10" t="n">
        <x:v>0</x:v>
      </x:c>
      <x:c r="C18" s="1"/>
      <x:c r="D18" s="10" t="n">
        <x:v>0</x:v>
      </x:c>
      <x:c r="E18" s="10" t="n">
        <x:v>0</x:v>
      </x:c>
      <x:c r="F18" s="10" t="n">
        <x:v>0</x:v>
      </x:c>
      <x:c r="G18" s="10" t="n">
        <x:v>0</x:v>
      </x:c>
      <x:c r="H18" s="10" t="n">
        <x:v>0</x:v>
      </x:c>
      <x:c r="I18" s="10" t="n">
        <x:v>0</x:v>
      </x:c>
    </x:row>
    <x:row r="19" ht="25" customHeight="1">
      <x:c r="A19" s="1" t="str">
        <x:v>Gratificación: Estimada o Percibida</x:v>
      </x:c>
      <x:c r="B19" s="8" t="str">
        <x:v>Estimada</x:v>
      </x:c>
      <x:c r="C19" s="1"/>
      <x:c r="D19" s="1" t="str">
        <x:v>Un mismo concepto en cada mes. Ejemplo: horas extra.</x:v>
      </x:c>
      <x:c r="E19" s="1"/>
      <x:c r="F19" s="1"/>
      <x:c r="G19" s="1"/>
      <x:c r="H19" s="1"/>
      <x:c r="I19" s="1"/>
    </x:row>
    <x:row r="20" ht="25" customHeight="1">
      <x:c r="A20" s="1" t="str">
        <x:v>Última gratificación pagada (S/)</x:v>
      </x:c>
      <x:c r="B20" s="10" t="n">
        <x:v>0</x:v>
      </x:c>
      <x:c r="C20" s="1"/>
      <x:c r="D20" s="1" t="str">
        <x:v>Se incorpora si se percibe en 3 meses o más.</x:v>
      </x:c>
      <x:c r="E20" s="1"/>
      <x:c r="F20" s="1"/>
      <x:c r="G20" s="1"/>
      <x:c r="H20" s="1"/>
      <x:c r="I20" s="1"/>
    </x:row>
    <x:row r="21" ht="25" customHeight="1">
      <x:c r="A21" s="1" t="str">
        <x:v>Meses completos de gratificación</x:v>
      </x:c>
      <x:c r="B21" s="8" t="n">
        <x:v>6</x:v>
      </x:c>
      <x:c r="C21" s="1"/>
      <x:c r="D21" s="1" t="str">
        <x:v>Promedio: suma / meses equivalentes del período liquidado.</x:v>
      </x:c>
      <x:c r="E21" s="1"/>
      <x:c r="F21" s="1"/>
      <x:c r="G21" s="1"/>
      <x:c r="H21" s="1"/>
      <x:c r="I21" s="1"/>
    </x:row>
    <x:row r="22" ht="25" customHeight="1">
      <x:c r="A22" s="1" t="str">
        <x:v>Asignación familiar histórica (S/)</x:v>
      </x:c>
      <x:c r="B22" s="10" t="n">
        <x:v>0</x:v>
      </x:c>
      <x:c r="C22" s="1"/>
      <x:c r="D22" s="1"/>
      <x:c r="E22" s="1"/>
      <x:c r="F22" s="1"/>
      <x:c r="G22" s="1"/>
      <x:c r="H22" s="1"/>
      <x:c r="I22" s="1"/>
    </x:row>
    <x:row r="23" ht="25" customHeight="1">
      <x:c r="A23" s="1" t="str">
        <x:v>Otros fijos históricos (S/)</x:v>
      </x:c>
      <x:c r="B23" s="10" t="n">
        <x:v>0</x:v>
      </x:c>
      <x:c r="C23" s="1"/>
      <x:c r="D23" s="1"/>
      <x:c r="E23" s="1"/>
      <x:c r="F23" s="1"/>
      <x:c r="G23" s="1"/>
      <x:c r="H23" s="1"/>
      <x:c r="I23" s="1"/>
    </x:row>
    <x:row r="24" ht="25" customHeight="1">
      <x:c r="A24" s="1"/>
      <x:c r="B24" s="1"/>
      <x:c r="C24" s="1"/>
      <x:c r="D24" s="1" t="str">
        <x:v>Inicio del semestre</x:v>
      </x:c>
      <x:c r="E24" s="1"/>
      <x:c r="F24" s="1"/>
      <x:c r="G24" s="1"/>
      <x:c r="H24" s="11" t="n">
        <x:f>IF(ISNUMBER(B7),IF(AND(B7&gt;=1902,B7&lt;=2099,B7=INT(B7),OR(B8="Mayo",B8="Noviembre")),IF(B8="Mayo",DATE(B7-1,11,1),DATE(B7,5,1)),""),"")</x:f>
        <x:v>46143</x:v>
      </x:c>
      <x:c r="I24" s="1"/>
    </x:row>
    <x:row r="25" ht="25" customHeight="1">
      <x:c r="A25" s="1" t="str">
        <x:v>Meses con variable</x:v>
      </x:c>
      <x:c r="B25" s="1" t="n">
        <x:f>COUNTIF(D18:I18,"&gt;0")</x:f>
        <x:v>0</x:v>
      </x:c>
      <x:c r="C25" s="1"/>
      <x:c r="D25" s="1" t="str">
        <x:v>Fin del semestre</x:v>
      </x:c>
      <x:c r="E25" s="1"/>
      <x:c r="F25" s="1"/>
      <x:c r="G25" s="1"/>
      <x:c r="H25" s="11" t="n">
        <x:f>IF(ISNUMBER(H24),EOMONTH(H24,5),"")</x:f>
        <x:v>46326</x:v>
      </x:c>
      <x:c r="I25" s="1"/>
    </x:row>
    <x:row r="26" ht="25" customHeight="1">
      <x:c r="A26" s="1" t="str">
        <x:v>Promedio variable computable (S/)</x:v>
      </x:c>
      <x:c r="B26" s="12" t="n">
        <x:f>IF(AND(D31="OK",D32="OK"),IF(B25&gt;=3,SUM(D18:I18)/(B29/30),0),"")</x:f>
        <x:v>0</x:v>
      </x:c>
      <x:c r="C26" s="1"/>
      <x:c r="D26" s="1" t="str">
        <x:v>Inicio efectivo en el semestre</x:v>
      </x:c>
      <x:c r="E26" s="1"/>
      <x:c r="F26" s="1"/>
      <x:c r="G26" s="1"/>
      <x:c r="H26" s="11" t="n">
        <x:f>IF(AND(ISNUMBER(H24),ISNUMBER(B9)),MAX(H24,B9),"")</x:f>
        <x:v>46143</x:v>
      </x:c>
      <x:c r="I26" s="1"/>
    </x:row>
    <x:row r="27" ht="25" customHeight="1">
      <x:c r="A27" s="1" t="str">
        <x:v>Un sexto de gratificación (S/)</x:v>
      </x:c>
      <x:c r="B27" s="12" t="n">
        <x:f>IF(D33="OK",H27/6,"")</x:f>
        <x:v>500</x:v>
      </x:c>
      <x:c r="C27" s="1"/>
      <x:c r="D27" s="1" t="str">
        <x:v>Gratificación usada (S/)</x:v>
      </x:c>
      <x:c r="E27" s="1"/>
      <x:c r="F27" s="1"/>
      <x:c r="G27" s="1"/>
      <x:c r="H27" s="12" t="n">
        <x:f>IF(D33="OK",IF(B19="Percibida",B20,ROUND((B16+B22+B23)*B21/6,2)),"")</x:f>
        <x:v>3000</x:v>
      </x:c>
      <x:c r="I27" s="1"/>
    </x:row>
    <x:row r="28" ht="25" customHeight="1">
      <x:c r="A28" s="1" t="str">
        <x:v>Base computable CTS (S/)</x:v>
      </x:c>
      <x:c r="B28" s="12" t="n">
        <x:f>IF(AND(D32="OK",D33="OK",ISNUMBER(B26)),SUM(B16:B18,B26:B27),"")</x:f>
        <x:v>3500</x:v>
      </x:c>
      <x:c r="C28" s="1"/>
      <x:c r="D28" s="1"/>
      <x:c r="E28" s="1"/>
      <x:c r="F28" s="1"/>
      <x:c r="G28" s="1"/>
      <x:c r="H28" s="1"/>
      <x:c r="I28" s="1"/>
    </x:row>
    <x:row r="29" ht="25" customHeight="1">
      <x:c r="A29" s="1" t="str">
        <x:v>Días equivalentes antes de faltas</x:v>
      </x:c>
      <x:c r="B29" s="1" t="n">
        <x:f>IF(D31="OK",IF(B11="Manual",B12*30+B13,(YEAR(H25)*12+MONTH(H25)-YEAR(H26)*12-MONTH(H26))*30+30-DAY(H26)+1),"")</x:f>
        <x:v>180</x:v>
      </x:c>
      <x:c r="C29" s="1"/>
      <x:c r="D29" s="1"/>
      <x:c r="E29" s="1"/>
      <x:c r="F29" s="1"/>
      <x:c r="G29" s="1"/>
      <x:c r="H29" s="1"/>
      <x:c r="I29" s="1"/>
    </x:row>
    <x:row r="30" ht="25" customHeight="1">
      <x:c r="A30" s="1" t="str">
        <x:v>Días equivalentes después de faltas</x:v>
      </x:c>
      <x:c r="B30" s="1" t="n">
        <x:f>IF(AND(D31="OK",D34="OK"),B29-B10,"")</x:f>
        <x:v>180</x:v>
      </x:c>
      <x:c r="C30" s="1"/>
      <x:c r="D30" s="1" t="str">
        <x:v>Validaciones</x:v>
      </x:c>
      <x:c r="E30" s="1"/>
      <x:c r="F30" s="1"/>
      <x:c r="G30" s="1"/>
      <x:c r="H30" s="1"/>
      <x:c r="I30" s="1"/>
    </x:row>
    <x:row r="31" ht="25" customHeight="1">
      <x:c r="A31" s="1"/>
      <x:c r="B31" s="1"/>
      <x:c r="C31" s="1"/>
      <x:c r="D31" s="1" t="str">
        <x:f>IF(B11="Manual",IF(COUNT(B12:B13)&lt;&gt;2,"Tiempo: completa meses y días",IF(OR(MIN(B12:B13)&lt;0,B12&gt;6,B12&lt;&gt;INT(B12),B13&gt;29,B13&lt;&gt;INT(B13),B12*30+B13&lt;=0,B12*30+B13&gt;180),"Tiempo: revisa meses y días","OK")),IF(B11&lt;&gt;"Fechas","Tiempo: elige Fechas o Manual",IF(OR(NOT(ISNUMBER(H24)),NOT(ISNUMBER(B9))),"Tiempo: revisa año, período e ingreso",IF(OR(B9&lt;DATE(1901,1,1),B9&gt;DATE(2100,12,31),B9&lt;&gt;INT(B9)),"Tiempo: fecha inválida",IF(B9&gt;H25,"Ingreso posterior al semestre",IF(OR(DAY(H26)=31,AND(MONTH(H26)=2,DAY(H26)&lt;&gt;1)),"Fecha especial: usa tiempo Manual validado",IF(EDATE(B9,1)&gt;H25+1,"Sin mes mínimo: acumular al siguiente período","OK")))))))</x:f>
        <x:v>OK</x:v>
      </x:c>
      <x:c r="E31" s="1"/>
      <x:c r="F31" s="1"/>
      <x:c r="G31" s="1"/>
      <x:c r="H31" s="1"/>
      <x:c r="I31" s="1"/>
    </x:row>
    <x:row r="32" ht="25" customHeight="1">
      <x:c r="A32" s="1"/>
      <x:c r="B32" s="1"/>
      <x:c r="C32" s="1"/>
      <x:c r="D32" s="1" t="str">
        <x:f>IF(COUNT(B16:B18,D18:I18)&lt;&gt;9,"Remuneración: completa los importes",IF(OR(MIN(B16:B18,D18:I18)&lt;0,MAX(B16:B18,D18:I18)&gt;1000000000),"Remuneración: revisa los importes","OK"))</x:f>
        <x:v>OK</x:v>
      </x:c>
      <x:c r="E32" s="1"/>
      <x:c r="F32" s="1"/>
      <x:c r="G32" s="1"/>
      <x:c r="H32" s="1"/>
      <x:c r="I32" s="1"/>
    </x:row>
    <x:row r="33" ht="25" customHeight="1">
      <x:c r="A33" s="1"/>
      <x:c r="B33" s="1"/>
      <x:c r="C33" s="1"/>
      <x:c r="D33" s="1" t="str">
        <x:f>IF(B19="Percibida",IF(ISNUMBER(B20),IF(AND(B20&gt;=0,B20&lt;=1000000000),"OK","Gratificación pagada inválida"),"Completa gratificación pagada"),IF(B19&lt;&gt;"Estimada","Elige Estimada o Percibida",IF(COUNT(B16,B21:B23)&lt;&gt;4,"Gratificación: completa datos históricos",IF(OR(MIN(B16,B21:B23)&lt;0,MAX(B16,B22:B23)&gt;1000000000,B21&gt;6,B21&lt;&gt;INT(B21)),"Gratificación: revisa los datos","OK"))))</x:f>
        <x:v>OK</x:v>
      </x:c>
      <x:c r="E33" s="1"/>
      <x:c r="F33" s="1"/>
      <x:c r="G33" s="1"/>
      <x:c r="H33" s="1"/>
      <x:c r="I33" s="1"/>
    </x:row>
    <x:row r="34" ht="25" customHeight="1">
      <x:c r="A34" s="1"/>
      <x:c r="B34" s="1"/>
      <x:c r="C34" s="1"/>
      <x:c r="D34" s="1" t="str">
        <x:f>IF(ISNUMBER(B10),IF(OR(B10&lt;0,B10&lt;&gt;INT(B10)),"Ausencias: usa días enteros no negativos",IF(ISNUMBER(B29),IF(B10&gt;B29,"Ausencias mayores que el período","OK"),"Revisa el tiempo primero")),"Completa días no computables")</x:f>
        <x:v>OK</x:v>
      </x:c>
      <x:c r="E34" s="1"/>
      <x:c r="F34" s="1"/>
      <x:c r="G34" s="1"/>
      <x:c r="H34" s="1"/>
      <x:c r="I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25" customHeight="1">
      <x:c r="A36" s="15" t="str">
        <x:v>Régimen general, jornada y derecho a CTS ya verificados. Sin arrastres ni intereses. Un corte futuro es una proyección.</x:v>
      </x:c>
      <x:c r="B36" s="15"/>
      <x:c r="C36" s="15"/>
      <x:c r="D36" s="15"/>
      <x:c r="E36" s="15"/>
      <x:c r="F36" s="15"/>
      <x:c r="G36" s="15"/>
      <x:c r="H36" s="15"/>
      <x:c r="I36" s="15"/>
    </x:row>
    <x:row r="37" ht="25" customHeight="1">
      <x:c r="A37" s="15" t="str">
        <x:v>Estimada supone sueldo constante y meses calendario completos sin faltas en la gratificación. Si no coincide con la boleta, usa Percibida.</x:v>
      </x:c>
      <x:c r="B37" s="15"/>
      <x:c r="C37" s="15"/>
      <x:c r="D37" s="15"/>
      <x:c r="E37" s="15"/>
      <x:c r="F37" s="15"/>
      <x:c r="G37" s="15"/>
      <x:c r="H37" s="15"/>
      <x:c r="I37" s="15"/>
    </x:row>
    <x:row r="38" ht="25" customHeight="1">
      <x:c r="A38" s="15" t="str">
        <x:v>La asignación familiar histórica puede diferir de la actual. No se calcula como porcentaje del sueldo.</x:v>
      </x:c>
      <x:c r="B38" s="15"/>
      <x:c r="C38" s="15"/>
      <x:c r="D38" s="15"/>
      <x:c r="E38" s="15"/>
      <x:c r="F38" s="15"/>
      <x:c r="G38" s="15"/>
      <x:c r="H38" s="15"/>
      <x:c r="I38" s="15"/>
    </x:row>
    <x:row r="39" ht="25" customHeight="1">
      <x:c r="A39" s="15" t="str">
        <x:v>Variables: un complemento por serie; comisiones como remuneración principal requieren cálculo específico.</x:v>
      </x:c>
      <x:c r="B39" s="15"/>
      <x:c r="C39" s="15"/>
      <x:c r="D39" s="15"/>
      <x:c r="E39" s="15"/>
      <x:c r="F39" s="15"/>
      <x:c r="G39" s="15"/>
      <x:c r="H39" s="15"/>
      <x:c r="I39" s="15"/>
    </x:row>
    <x:row r="40" ht="25" customHeight="1">
      <x:c r="A40" s="15" t="str">
        <x:v>Referencia de interfaz: https://web.talana.com/es-pe/calculo-de-cts</x:v>
      </x:c>
      <x:c r="B40" s="15"/>
      <x:c r="C40" s="15"/>
      <x:c r="D40" s="15"/>
      <x:c r="E40" s="15"/>
      <x:c r="F40" s="15"/>
      <x:c r="G40" s="15"/>
      <x:c r="H40" s="15"/>
      <x:c r="I40" s="15"/>
    </x:row>
    <x:row r="41" ht="25" customHeight="1">
      <x:c r="A41" s="15" t="str">
        <x:v>Fórmula CTS y promedio parcial: DS 001-97-TR, art. 21, y DS 004-97-TR, art. 6. Ver documentación de la entrega.</x:v>
      </x:c>
      <x:c r="B41" s="15"/>
      <x:c r="C41" s="15"/>
      <x:c r="D41" s="15"/>
      <x:c r="E41" s="15"/>
      <x:c r="F41" s="15"/>
      <x:c r="G41" s="15"/>
      <x:c r="H41" s="15"/>
      <x:c r="I41" s="15"/>
    </x:row>
  </x:sheetData>
  <x:conditionalFormatting sqref="D31:I34">
    <x:cfRule type="notContainsText" dxfId="0" priority="1" text="OK"/>
  </x:conditionalFormatting>
  <x:dataValidations count="7">
    <x:dataValidation type="list" sqref="B8">
      <x:formula1>"Mayo,Noviembre"</x:formula1>
    </x:dataValidation>
    <x:dataValidation type="list" sqref="B11">
      <x:formula1>"Fechas,Manual"</x:formula1>
    </x:dataValidation>
    <x:dataValidation type="list" sqref="B19">
      <x:formula1>"Estimada,Percibida"</x:formula1>
    </x:dataValidation>
    <x:dataValidation type="whole" operator="between" sqref="B10">
      <x:formula1>0</x:formula1>
      <x:formula2>180</x:formula2>
    </x:dataValidation>
    <x:dataValidation type="whole" operator="between" sqref="B12">
      <x:formula1>0</x:formula1>
      <x:formula2>6</x:formula2>
    </x:dataValidation>
    <x:dataValidation type="whole" operator="between" sqref="B13">
      <x:formula1>0</x:formula1>
      <x:formula2>29</x:formula2>
    </x:dataValidation>
    <x:dataValidation type="whole" operator="between" sqref="B21">
      <x:formula1>0</x:formula1>
      <x:formula2>6</x:formula2>
    </x:dataValidation>
  </x:dataValidations>
  <x:pageMargins left="0.7" right="0.7" top="0.75" bottom="0.75" header="0.3" footer="0.3"/>
</x:worksheet>
</file>