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f9b0991cfd40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TS" sheetId="1" r:id="R0b07890f7feb46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/mm/yyyy"/>
    <x:numFmt numFmtId="201" formatCode="#,##0.00"/>
    <x:numFmt numFmtId="202" formatCode="0"/>
    <x:numFmt numFmtId="203" formatCode="mmm yyyy"/>
  </x:numFmts>
  <x:fonts count="6">
    <x:font>
      <x:sz val="11"/>
      <x:name val="Carlito"/>
    </x:font>
    <x:font>
      <x:sz val="11"/>
      <x:name val="Arial"/>
    </x:font>
    <x:font>
      <x:b/>
      <x:sz val="15"/>
      <x:color rgb="FFFFFFFF"/>
      <x:name val="Arial"/>
    </x:font>
    <x:font>
      <x:b/>
      <x:sz val="11"/>
      <x:color rgb="FFFFFFFF"/>
      <x:name val="Arial"/>
    </x:font>
    <x:font>
      <x:sz val="11"/>
      <x:color rgb="FF185ABD"/>
      <x:name val="Arial"/>
    </x:font>
    <x:font>
      <x:b/>
      <x:sz val="15"/>
      <x:color rgb="FF174B2C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8EDF2"/>
      </x:patternFill>
    </x:fill>
    <x:fill>
      <x:patternFill patternType="solid">
        <x:fgColor rgb="FF17365D"/>
      </x:patternFill>
    </x:fill>
    <x:fill>
      <x:patternFill patternType="solid">
        <x:fgColor rgb="FFF2F5F9"/>
      </x:patternFill>
    </x:fill>
    <x:fill>
      <x:patternFill patternType="solid">
        <x:fgColor rgb="FF305780"/>
      </x:patternFill>
    </x:fill>
    <x:fill>
      <x:patternFill patternType="solid">
        <x:fgColor rgb="FFFFF2CC"/>
      </x:patternFill>
    </x:fill>
    <x:fill>
      <x:patternFill patternType="solid">
        <x:fgColor rgb="FFD6E8D4"/>
      </x:patternFill>
    </x:fill>
  </x:fills>
  <x:borders count="2">
    <x:border>
      <x:left/>
      <x:right/>
      <x:top/>
      <x:bottom/>
      <x:diagonal/>
    </x:border>
    <x:border>
      <x:left style="thin">
        <x:color rgb="FFA6B5C5"/>
      </x:left>
      <x:right style="thin">
        <x:color rgb="FFA6B5C5"/>
      </x:right>
      <x:top style="thin">
        <x:color rgb="FFA6B5C5"/>
      </x:top>
      <x:bottom style="thin">
        <x:color rgb="FFA6B5C5"/>
      </x:bottom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5" borderId="1" xfId="0" applyNumberFormat="1" applyFont="1" applyFill="1" applyBorder="1"/>
    <x:xf numFmtId="0" fontId="3" fillId="5" borderId="1" xfId="0" applyNumberFormat="1" applyFont="1" applyFill="1" applyBorder="1"/>
    <x:xf numFmtId="0" fontId="1" fillId="6" borderId="1" xfId="0" applyNumberFormat="1" applyFont="1" applyFill="1" applyBorder="1"/>
    <x:xf numFmtId="0" fontId="4" fillId="6" borderId="1" xfId="0" applyNumberFormat="1" applyFont="1" applyFill="1" applyBorder="1"/>
    <x:xf numFmtId="200" fontId="4" fillId="6" borderId="1" xfId="0" applyNumberFormat="1" applyFont="1" applyFill="1" applyBorder="1"/>
    <x:xf numFmtId="201" fontId="4" fillId="6" borderId="1" xfId="0" applyNumberFormat="1" applyFont="1" applyFill="1" applyBorder="1"/>
    <x:xf numFmtId="201" fontId="1" fillId="4" borderId="1" xfId="0" applyNumberFormat="1" applyFont="1" applyFill="1" applyBorder="1"/>
    <x:xf numFmtId="200" fontId="1" fillId="4" borderId="1" xfId="0" applyNumberFormat="1" applyFont="1" applyFill="1" applyBorder="1"/>
    <x:xf numFmtId="202" fontId="1" fillId="4" borderId="1" xfId="0" applyNumberFormat="1" applyFont="1" applyFill="1" applyBorder="1"/>
    <x:xf numFmtId="203" fontId="1" fillId="4" borderId="1" xfId="0" applyNumberFormat="1" applyFont="1" applyFill="1" applyBorder="1"/>
    <x:xf numFmtId="0" fontId="1" fillId="7" borderId="1" xfId="0" applyNumberFormat="1" applyFont="1" applyFill="1" applyBorder="1"/>
    <x:xf numFmtId="201" fontId="1" fillId="7" borderId="1" xfId="0" applyNumberFormat="1" applyFont="1" applyFill="1" applyBorder="1"/>
    <x:xf numFmtId="0" fontId="5" fillId="7" borderId="1" xfId="0" applyNumberFormat="1" applyFont="1" applyFill="1" applyBorder="1"/>
    <x:xf numFmtId="201" fontId="5" fillId="7" borderId="1" xfId="0" applyNumberFormat="1" applyFont="1" applyFill="1" applyBorder="1"/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b724b20dc8476f" /><Relationship Type="http://schemas.openxmlformats.org/officeDocument/2006/relationships/theme" Target="/xl/theme/theme1.xml" Id="R5563ab8bec384ec9" /><Relationship Type="http://schemas.openxmlformats.org/officeDocument/2006/relationships/sharedStrings" Target="/xl/sharedStrings.xml" Id="Rafcd203639f84d61" /><Relationship Type="http://schemas.openxmlformats.org/officeDocument/2006/relationships/worksheet" Target="/xl/worksheets/sheet1.xml" Id="R0b07890f7feb46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42" hidden="0" customWidth="1"/>
    <x:col min="2" max="2" width="23" hidden="0" customWidth="1"/>
    <x:col min="3" max="3" width="3" hidden="0" customWidth="1"/>
    <x:col min="4" max="4" width="37" hidden="0" customWidth="1"/>
    <x:col min="5" max="5" width="25" hidden="0" customWidth="1"/>
  </x:cols>
  <x:sheetData>
    <x:row r="1" ht="25" customHeight="1">
      <x:c r="A1" s="4" t="str">
        <x:v>CTS · RÉGIMEN GENERAL</x:v>
      </x:c>
      <x:c r="B1" s="4"/>
      <x:c r="C1" s="2"/>
      <x:c r="D1" s="2"/>
      <x:c r="E1" s="2"/>
    </x:row>
    <x:row r="2" ht="25" customHeight="1">
      <x:c r="A2" s="2"/>
      <x:c r="B2" s="2"/>
      <x:c r="C2" s="2"/>
      <x:c r="D2" s="2"/>
      <x:c r="E2" s="2"/>
    </x:row>
    <x:row r="3" ht="25" customHeight="1">
      <x:c r="A3" s="8" t="str">
        <x:v>DATOS DEL TRABAJADOR</x:v>
      </x:c>
      <x:c r="B3" s="8" t="str">
        <x:v>VALOR</x:v>
      </x:c>
      <x:c r="C3" s="2"/>
      <x:c r="D3" s="8" t="str">
        <x:v>PERÍODOS</x:v>
      </x:c>
      <x:c r="E3" s="8" t="str">
        <x:v>FECHA / MESES</x:v>
      </x:c>
    </x:row>
    <x:row r="4" ht="25" customHeight="1">
      <x:c r="A4" s="6" t="str">
        <x:v>Año de depósito</x:v>
      </x:c>
      <x:c r="B4" s="10" t="n">
        <x:v>2026</x:v>
      </x:c>
      <x:c r="C4" s="2"/>
      <x:c r="D4" s="6" t="str">
        <x:v>Inicio semestre CTS</x:v>
      </x:c>
      <x:c r="E4" s="14" t="n">
        <x:f>IF(E22="OK",IF(B5="Mayo",DATE(B4-1,11,1),DATE(B4,5,1)),"")</x:f>
        <x:v>46143</x:v>
      </x:c>
    </x:row>
    <x:row r="5" ht="25" customHeight="1">
      <x:c r="A5" s="6" t="str">
        <x:v>Depósito de CTS</x:v>
      </x:c>
      <x:c r="B5" s="10" t="str">
        <x:v>Noviembre</x:v>
      </x:c>
      <x:c r="C5" s="2"/>
      <x:c r="D5" s="6" t="str">
        <x:v>Fin semestre CTS</x:v>
      </x:c>
      <x:c r="E5" s="14" t="n">
        <x:f>IF(E22="OK",EOMONTH(E4,5),"")</x:f>
        <x:v>46326</x:v>
      </x:c>
    </x:row>
    <x:row r="6" ht="25" customHeight="1">
      <x:c r="A6" s="6" t="str">
        <x:v>Fecha de ingreso</x:v>
      </x:c>
      <x:c r="B6" s="11" t="n">
        <x:v>46023</x:v>
      </x:c>
      <x:c r="C6" s="2"/>
      <x:c r="D6" s="6" t="str">
        <x:v>Ingreso computable CTS</x:v>
      </x:c>
      <x:c r="E6" s="14" t="n">
        <x:f>IF(E22="OK",MAX(B6,E4),"")</x:f>
        <x:v>46143</x:v>
      </x:c>
    </x:row>
    <x:row r="7" ht="25" customHeight="1">
      <x:c r="A7" s="6" t="str">
        <x:v>Días no computables CTS</x:v>
      </x:c>
      <x:c r="B7" s="10" t="n">
        <x:v>0</x:v>
      </x:c>
      <x:c r="C7" s="2"/>
      <x:c r="D7" s="6" t="str">
        <x:v>Inicio semestre gratificación</x:v>
      </x:c>
      <x:c r="E7" s="14" t="n">
        <x:f>IF(E22="OK",IF(B5="Mayo",DATE(B4-1,7,1),DATE(B4,1,1)),"")</x:f>
        <x:v>46023</x:v>
      </x:c>
    </x:row>
    <x:row r="8" ht="25" customHeight="1">
      <x:c r="A8" s="2"/>
      <x:c r="B8" s="2"/>
      <x:c r="C8" s="2"/>
      <x:c r="D8" s="6" t="str">
        <x:v>Fin semestre gratificación</x:v>
      </x:c>
      <x:c r="E8" s="14" t="n">
        <x:f>IF(E22="OK",EOMONTH(E7,5),"")</x:f>
        <x:v>46203</x:v>
      </x:c>
    </x:row>
    <x:row r="9" ht="25" customHeight="1">
      <x:c r="A9" s="8" t="str">
        <x:v>REMUNERACIÓN</x:v>
      </x:c>
      <x:c r="B9" s="8" t="str">
        <x:v>VALOR</x:v>
      </x:c>
      <x:c r="C9" s="2"/>
      <x:c r="D9" s="6" t="str">
        <x:v>Primer mes completo gratificación</x:v>
      </x:c>
      <x:c r="E9" s="14" t="n">
        <x:f>IF(E22="OK",MAX(E7,IF(DAY(B6)=1,B6,EOMONTH(B6,0)+1)),"")</x:f>
        <x:v>46023</x:v>
      </x:c>
    </x:row>
    <x:row r="10" ht="25" customHeight="1">
      <x:c r="A10" s="6" t="str">
        <x:v>Sueldo básico</x:v>
      </x:c>
      <x:c r="B10" s="12" t="n">
        <x:v>3000</x:v>
      </x:c>
      <x:c r="C10" s="2"/>
      <x:c r="D10" s="6" t="str">
        <x:v>Meses completos gratificación</x:v>
      </x:c>
      <x:c r="E10" s="15" t="n">
        <x:f>IF(E22="OK",MAX(0,(YEAR(E8)-YEAR(E9))*12+MONTH(E8)-MONTH(E9)+1),"")</x:f>
        <x:v>6</x:v>
      </x:c>
    </x:row>
    <x:row r="11" ht="25" customHeight="1">
      <x:c r="A11" s="6" t="str">
        <x:v>Asignación familiar CTS</x:v>
      </x:c>
      <x:c r="B11" s="12" t="n">
        <x:v>0</x:v>
      </x:c>
      <x:c r="C11" s="2"/>
      <x:c r="D11" s="2"/>
      <x:c r="E11" s="2"/>
    </x:row>
    <x:row r="12" ht="25" customHeight="1">
      <x:c r="A12" s="6" t="str">
        <x:v>Otros fijos mensuales CTS</x:v>
      </x:c>
      <x:c r="B12" s="12" t="n">
        <x:v>0</x:v>
      </x:c>
      <x:c r="C12" s="2"/>
      <x:c r="D12" s="2"/>
      <x:c r="E12" s="2"/>
    </x:row>
    <x:row r="13" ht="25" customHeight="1">
      <x:c r="A13" s="6" t="str">
        <x:v>Gratificación utilizada</x:v>
      </x:c>
      <x:c r="B13" s="10" t="str">
        <x:v>Estimada</x:v>
      </x:c>
      <x:c r="C13" s="2"/>
      <x:c r="D13" s="8" t="str">
        <x:v>VARIABLE COMPLEMENTARIA</x:v>
      </x:c>
      <x:c r="E13" s="8" t="str">
        <x:v>S/</x:v>
      </x:c>
    </x:row>
    <x:row r="14" ht="25" customHeight="1">
      <x:c r="A14" s="6" t="str">
        <x:v>Gratificación percibida</x:v>
      </x:c>
      <x:c r="B14" s="12" t="n">
        <x:v>0</x:v>
      </x:c>
      <x:c r="C14" s="2"/>
      <x:c r="D14" s="16" t="n">
        <x:f>IF(E22="OK",EDATE(E4,0),"")</x:f>
        <x:v>46143</x:v>
      </x:c>
      <x:c r="E14" s="12" t="n">
        <x:v>0</x:v>
      </x:c>
    </x:row>
    <x:row r="15" ht="25" customHeight="1">
      <x:c r="A15" s="6" t="str">
        <x:v>Asignación familiar histórica</x:v>
      </x:c>
      <x:c r="B15" s="12" t="n">
        <x:v>0</x:v>
      </x:c>
      <x:c r="C15" s="2"/>
      <x:c r="D15" s="16" t="n">
        <x:f>IF(E22="OK",EDATE(E4,1),"")</x:f>
        <x:v>46174</x:v>
      </x:c>
      <x:c r="E15" s="12" t="n">
        <x:v>0</x:v>
      </x:c>
    </x:row>
    <x:row r="16" ht="25" customHeight="1">
      <x:c r="A16" s="6" t="str">
        <x:v>Otros fijos históricos</x:v>
      </x:c>
      <x:c r="B16" s="12" t="n">
        <x:v>0</x:v>
      </x:c>
      <x:c r="C16" s="2"/>
      <x:c r="D16" s="16" t="n">
        <x:f>IF(E22="OK",EDATE(E4,2),"")</x:f>
        <x:v>46204</x:v>
      </x:c>
      <x:c r="E16" s="12" t="n">
        <x:v>0</x:v>
      </x:c>
    </x:row>
    <x:row r="17" ht="25" customHeight="1">
      <x:c r="A17" s="6" t="str">
        <x:v>Días no computables gratificación</x:v>
      </x:c>
      <x:c r="B17" s="10" t="n">
        <x:v>0</x:v>
      </x:c>
      <x:c r="C17" s="2"/>
      <x:c r="D17" s="16" t="n">
        <x:f>IF(E22="OK",EDATE(E4,3),"")</x:f>
        <x:v>46235</x:v>
      </x:c>
      <x:c r="E17" s="12" t="n">
        <x:v>0</x:v>
      </x:c>
    </x:row>
    <x:row r="18" ht="25" customHeight="1">
      <x:c r="A18" s="2"/>
      <x:c r="B18" s="2"/>
      <x:c r="C18" s="2"/>
      <x:c r="D18" s="16" t="n">
        <x:f>IF(E22="OK",EDATE(E4,4),"")</x:f>
        <x:v>46266</x:v>
      </x:c>
      <x:c r="E18" s="12" t="n">
        <x:v>0</x:v>
      </x:c>
    </x:row>
    <x:row r="19" ht="25" customHeight="1">
      <x:c r="A19" s="8" t="str">
        <x:v>CÁLCULO NUMÉRICO</x:v>
      </x:c>
      <x:c r="B19" s="8" t="str">
        <x:v>VALOR</x:v>
      </x:c>
      <x:c r="C19" s="2"/>
      <x:c r="D19" s="16" t="n">
        <x:f>IF(E22="OK",EDATE(E4,5),"")</x:f>
        <x:v>46296</x:v>
      </x:c>
      <x:c r="E19" s="12" t="n">
        <x:v>0</x:v>
      </x:c>
    </x:row>
    <x:row r="20" ht="25" customHeight="1">
      <x:c r="A20" s="6" t="str">
        <x:v>Gratificación estimada</x:v>
      </x:c>
      <x:c r="B20" s="13" t="n">
        <x:f>IF(AND(E22="OK",COUNT(B10,B15:B17)=4),IF(AND(MIN(B10,B15:B17)&gt;=0,MAX(B10,B15:B16)&lt;=1000000000,B17=INT(B17),B17&lt;=E10*30),ROUND((B10+B15+B16)*(E10/6-B17/180),2),""),"")</x:f>
        <x:v>3000</x:v>
      </x:c>
      <x:c r="C20" s="2"/>
      <x:c r="D20" s="2"/>
      <x:c r="E20" s="2"/>
    </x:row>
    <x:row r="21" ht="25" customHeight="1">
      <x:c r="A21" s="6" t="str">
        <x:v>Gratificación utilizada</x:v>
      </x:c>
      <x:c r="B21" s="13" t="n">
        <x:f>IF(E24="OK",IF(B13="Percibida",B14,B20),"")</x:f>
        <x:v>3000</x:v>
      </x:c>
      <x:c r="C21" s="2"/>
      <x:c r="D21" s="8" t="str">
        <x:v>VALIDACIÓN</x:v>
      </x:c>
      <x:c r="E21" s="8" t="str">
        <x:v>ESTADO</x:v>
      </x:c>
    </x:row>
    <x:row r="22" ht="25" customHeight="1">
      <x:c r="A22" s="6" t="str">
        <x:v>Un sexto de gratificación</x:v>
      </x:c>
      <x:c r="B22" s="13" t="n">
        <x:f>IF(ISNUMBER(B21),B21/6,"")</x:f>
        <x:v>500</x:v>
      </x:c>
      <x:c r="C22" s="2"/>
      <x:c r="D22" s="6" t="str">
        <x:v>Año / ingreso</x:v>
      </x:c>
      <x:c r="E22" s="6" t="str">
        <x:f>IF(COUNT(B4,B6)&lt;&gt;2,"DATOS INCOMPLETOS",IF(OR(B4&lt;1902,B4&gt;2099,B4&lt;&gt;INT(B4),B6&lt;DATE(1901,1,1),B6&gt;DATE(2100,12,31),B6&lt;&gt;INT(B6),AND(B5&lt;&gt;"Mayo",B5&lt;&gt;"Noviembre")),"DATOS INVÁLIDOS","OK"))</x:f>
        <x:v>OK</x:v>
      </x:c>
    </x:row>
    <x:row r="23" ht="25" customHeight="1">
      <x:c r="A23" s="6" t="str">
        <x:v>Meses con variable</x:v>
      </x:c>
      <x:c r="B23" s="6" t="n">
        <x:f>COUNTIF(E14:E19,"&gt;0")</x:f>
        <x:v>0</x:v>
      </x:c>
      <x:c r="C23" s="2"/>
      <x:c r="D23" s="6" t="str">
        <x:v>Tiempo CTS</x:v>
      </x:c>
      <x:c r="E23" s="6" t="str">
        <x:f>IF(E22&lt;&gt;"OK","REVISAR FECHAS",IF(B6&gt;E5,"INGRESO POSTERIOR",IF(OR(DAY(E6)=31,AND(MONTH(E6)=2,DAY(E6)&lt;&gt;1)),"REVISIÓN DE FECHA",IF(EDATE(B6,1)&gt;E5+1,"ACUMULAR","OK"))))</x:f>
        <x:v>OK</x:v>
      </x:c>
    </x:row>
    <x:row r="24" ht="25" customHeight="1">
      <x:c r="A24" s="6" t="str">
        <x:v>Suma de variables</x:v>
      </x:c>
      <x:c r="B24" s="13" t="n">
        <x:f>IF(E25="OK",SUM(E14:E19),"")</x:f>
        <x:v>0</x:v>
      </x:c>
      <x:c r="C24" s="2"/>
      <x:c r="D24" s="6" t="str">
        <x:v>Gratificación</x:v>
      </x:c>
      <x:c r="E24" s="6" t="str">
        <x:f>IF(B13="Percibida",IF(ISNUMBER(B14),IF(AND(B14&gt;=0,B14&lt;=1000000000),"OK","IMPORTE INVÁLIDO"),"IMPORTE PENDIENTE"),IF(B13&lt;&gt;"Estimada","MODO INVÁLIDO",IF(E22&lt;&gt;"OK","REVISAR FECHAS",IF(COUNT(B10,B15:B17)&lt;&gt;4,"DATOS INCOMPLETOS",IF(OR(MIN(B10,B15:B17)&lt;0,MAX(B10,B15:B16)&gt;1000000000,B17&lt;&gt;INT(B17),B17&gt;E10*30),"DATOS INVÁLIDOS","OK")))))</x:f>
        <x:v>OK</x:v>
      </x:c>
    </x:row>
    <x:row r="25" ht="25" customHeight="1">
      <x:c r="A25" s="6" t="str">
        <x:v>Promedio variable computable</x:v>
      </x:c>
      <x:c r="B25" s="13" t="n">
        <x:f>IF(AND(E25="OK",E23="OK"),IF(B23&gt;=3,B24/(B29/30),0),"")</x:f>
        <x:v>0</x:v>
      </x:c>
      <x:c r="C25" s="2"/>
      <x:c r="D25" s="6" t="str">
        <x:v>Remuneración</x:v>
      </x:c>
      <x:c r="E25" s="6" t="str">
        <x:f>IF(COUNT(B10:B12,E14:E19)&lt;&gt;9,"DATOS INCOMPLETOS",IF(OR(MIN(B10:B12,E14:E19)&lt;0,MAX(B10:B12,E14:E19)&gt;1000000000),"IMPORTE INVÁLIDO","OK"))</x:f>
        <x:v>OK</x:v>
      </x:c>
    </x:row>
    <x:row r="26" ht="25" customHeight="1">
      <x:c r="A26" s="6" t="str">
        <x:v>Remuneración computable CTS</x:v>
      </x:c>
      <x:c r="B26" s="13" t="n">
        <x:f>IF(AND(E25="OK",E24="OK",ISNUMBER(B25)),SUM(B10:B12,B22,B25),"")</x:f>
        <x:v>3500</x:v>
      </x:c>
      <x:c r="C26" s="2"/>
      <x:c r="D26" s="6" t="str">
        <x:v>Ausencias CTS</x:v>
      </x:c>
      <x:c r="E26" s="6" t="str">
        <x:f>IF(ISNUMBER(B7),IF(OR(B7&lt;0,B7&lt;&gt;INT(B7)),"DÍAS INVÁLIDOS",IF(ISNUMBER(B29),IF(B7&lt;=B29,"OK","EXCEDE EL PERÍODO"),"REVISAR TIEMPO")),"DÍAS PENDIENTES")</x:f>
        <x:v>OK</x:v>
      </x:c>
    </x:row>
    <x:row r="27" ht="25" customHeight="1">
      <x:c r="A27" s="6" t="str">
        <x:v>Meses completos CTS</x:v>
      </x:c>
      <x:c r="B27" s="6" t="n">
        <x:f>IF(ISNUMBER(B29),INT(B29/30),"")</x:f>
        <x:v>6</x:v>
      </x:c>
      <x:c r="C27" s="2"/>
      <x:c r="D27" s="2"/>
      <x:c r="E27" s="2"/>
    </x:row>
    <x:row r="28" ht="25" customHeight="1">
      <x:c r="A28" s="6" t="str">
        <x:v>Días adicionales CTS</x:v>
      </x:c>
      <x:c r="B28" s="6" t="n">
        <x:f>IF(ISNUMBER(B29),MOD(B29,30),"")</x:f>
        <x:v>0</x:v>
      </x:c>
      <x:c r="C28" s="2"/>
      <x:c r="D28" s="2"/>
      <x:c r="E28" s="2"/>
    </x:row>
    <x:row r="29" ht="25" customHeight="1">
      <x:c r="A29" s="6" t="str">
        <x:v>Días equivalentes CTS</x:v>
      </x:c>
      <x:c r="B29" s="6" t="n">
        <x:f>IF(E23="OK",(YEAR(E5)-YEAR(E6))*360+(MONTH(E5)-MONTH(E6))*30+30-DAY(E6)+1,"")</x:f>
        <x:v>180</x:v>
      </x:c>
      <x:c r="C29" s="2"/>
      <x:c r="D29" s="2"/>
      <x:c r="E29" s="2"/>
    </x:row>
    <x:row r="30" ht="25" customHeight="1">
      <x:c r="A30" s="6" t="str">
        <x:v>Días netos CTS</x:v>
      </x:c>
      <x:c r="B30" s="6" t="n">
        <x:f>IF(AND(E23="OK",E26="OK"),B29-B7,"")</x:f>
        <x:v>180</x:v>
      </x:c>
      <x:c r="C30" s="2"/>
      <x:c r="D30" s="2"/>
      <x:c r="E30" s="2"/>
    </x:row>
    <x:row r="31" ht="25" customHeight="1">
      <x:c r="A31" s="2"/>
      <x:c r="B31" s="2"/>
      <x:c r="C31" s="2"/>
      <x:c r="D31" s="2"/>
      <x:c r="E31" s="2"/>
    </x:row>
    <x:row r="32" ht="31" customHeight="1">
      <x:c r="A32" s="19" t="str">
        <x:v>CTS TOTAL (S/)</x:v>
      </x:c>
      <x:c r="B32" s="20" t="n">
        <x:f>IF(AND(COUNTIF(E22:E26,"OK")=5,ISNUMBER(B26),ISNUMBER(B30)),ROUND(B26*B30/360,2),"")</x:f>
        <x:v>1750</x:v>
      </x:c>
      <x:c r="C32" s="2"/>
      <x:c r="D32" s="2"/>
      <x:c r="E32" s="2"/>
    </x:row>
    <x:row r="33" ht="25" customHeight="1">
      <x:c r="A33" s="2"/>
      <x:c r="B33" s="2"/>
      <x:c r="C33" s="2"/>
      <x:c r="D33" s="2"/>
      <x:c r="E33" s="2"/>
    </x:row>
  </x:sheetData>
  <x:conditionalFormatting sqref="E22:E26">
    <x:cfRule type="notContainsText" dxfId="0" priority="1" text="OK"/>
  </x:conditionalFormatting>
  <x:dataValidations count="4">
    <x:dataValidation type="list" sqref="B5">
      <x:formula1>"Mayo,Noviembre"</x:formula1>
    </x:dataValidation>
    <x:dataValidation type="list" sqref="B13">
      <x:formula1>"Estimada,Percibida"</x:formula1>
    </x:dataValidation>
    <x:dataValidation type="whole" operator="between" sqref="B7">
      <x:formula1>0</x:formula1>
      <x:formula2>180</x:formula2>
    </x:dataValidation>
    <x:dataValidation type="whole" operator="between" sqref="B17">
      <x:formula1>0</x:formula1>
      <x:formula2>180</x:formula2>
    </x:dataValidation>
  </x:dataValidations>
  <x:pageMargins left="0.7" right="0.7" top="0.75" bottom="0.75" header="0.3" footer="0.3"/>
</x:worksheet>
</file>