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544f63fc9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TS" sheetId="1" r:id="R8fe5c2dbad734fc9"/>
    <x:sheet xmlns:r="http://schemas.openxmlformats.org/officeDocument/2006/relationships" name="Casos probados" sheetId="2" r:id="R769ced17938a4f55"/>
    <x:sheet xmlns:r="http://schemas.openxmlformats.org/officeDocument/2006/relationships" name="Alcance y fuentes" sheetId="3" r:id="Rcd1779f12bd44136"/>
    <x:sheet xmlns:r="http://schemas.openxmlformats.org/officeDocument/2006/relationships" name="Fechas y gratificación" sheetId="4" r:id="R2615d830c881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S/ &quot;#,##0.00"/>
    <x:numFmt numFmtId="201" formatCode="#,##0.00"/>
    <x:numFmt numFmtId="202" formatCode="dd/mm/yyyy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sz val="11"/>
      <x:color rgb="FF1D4ED8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E8F0"/>
      </x:patternFill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1" fontId="3" fillId="2" borderId="0" xfId="0" applyNumberFormat="1" applyFont="1" applyFill="1" applyBorder="1"/>
    <x:xf numFmtId="201" fontId="1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2" fontId="1" fillId="2" borderId="0" xfId="0" applyNumberFormat="1" applyFont="1" applyFill="1" applyBorder="1"/>
    <x:xf numFmtId="202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1723c69244e97" /><Relationship Type="http://schemas.openxmlformats.org/officeDocument/2006/relationships/theme" Target="/xl/theme/theme1.xml" Id="R2a94970f120149f0" /><Relationship Type="http://schemas.openxmlformats.org/officeDocument/2006/relationships/sharedStrings" Target="/xl/sharedStrings.xml" Id="Rd3b4c8a65d2744ea" /><Relationship Type="http://schemas.openxmlformats.org/officeDocument/2006/relationships/worksheet" Target="/xl/worksheets/sheet1.xml" Id="R8fe5c2dbad734fc9" /><Relationship Type="http://schemas.openxmlformats.org/officeDocument/2006/relationships/worksheet" Target="/xl/worksheets/sheet2.xml" Id="R769ced17938a4f55" /><Relationship Type="http://schemas.openxmlformats.org/officeDocument/2006/relationships/worksheet" Target="/xl/worksheets/sheet3.xml" Id="Rcd1779f12bd44136" /><Relationship Type="http://schemas.openxmlformats.org/officeDocument/2006/relationships/worksheet" Target="/xl/worksheets/sheet4.xml" Id="R2615d830c8814b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" hidden="0" customWidth="1"/>
    <x:col min="2" max="2" width="26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CTS Perú · cálculo por período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 t="str">
        <x:v>Ejemplo editable. Corte de investigación: 27/10/2026.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 t="str">
        <x:v>Estado</x:v>
      </x:c>
      <x:c r="B5" s="1" t="str">
        <x:f>IF(AND(OR(B10="General 728",B10="Pequeña REMYPE",B10="Hogar"),B11="Sí",B14="No",B13="Sí"),IF(AND('Fechas y gratificación'!B16&lt;&gt;"OK",'Fechas y gratificación'!B16&lt;&gt;"MANUAL"),'Fechas y gratificación'!B16,IF(AND('Fechas y gratificación'!B23&lt;&gt;"OK",'Fechas y gratificación'!B23&lt;&gt;"MANUAL"),'Fechas y gratificación'!B23,IF(OR(COUNTIF(B11:B15,"Sí")+COUNTIF(B11:B15,"No")&lt;&gt;5,B11&lt;&gt;"Sí"),"REVISAR",IF(OR(B10="CAS",B10="Público 276",B10="Construcción civil",B10="Otros"),"REVISAR",IF(B10="Agrario prorrateado",IF(B34="OK","COMPONENTE",B34),IF(B10="Micro REMYPE","SIN DERECHO",IF(AND(B10&lt;&gt;"General 728",B10&lt;&gt;"Pequeña REMYPE",B10&lt;&gt;"Hogar"),"REVISAR",IF(B14="Sí","INCLUIDA EN RIA",IF(B13&lt;&gt;"Sí","REVISAR JORNADA",IF(B53&lt;&gt;"Sí",IF(B15="Sí","SIN MES MÍNIMO","ACUMULAR"),IF(B34="OK","CALCULADO",B34))))))))))),IF(OR(COUNTIF(B11:B15,"Sí")+COUNTIF(B11:B15,"No")&lt;&gt;5,B11&lt;&gt;"Sí"),"REVISAR",IF(OR(B10="CAS",B10="Público 276",B10="Construcción civil",B10="Otros"),"REVISAR",IF(B10="Agrario prorrateado",IF(B34="OK","COMPONENTE",B34),IF(B10="Micro REMYPE","SIN DERECHO",IF(AND(B10&lt;&gt;"General 728",B10&lt;&gt;"Pequeña REMYPE",B10&lt;&gt;"Hogar"),"REVISAR",IF(B14="Sí","INCLUIDA EN RIA",IF(B13&lt;&gt;"Sí","REVISAR JORNADA",IF(B53&lt;&gt;"Sí",IF(B15="Sí","SIN MES MÍNIMO","ACUMULAR"),IF(B34="OK","CALCULADO",B34))))))))))</x:f>
        <x:v>CALCULADO</x:v>
      </x:c>
      <x:c r="C5" s="1"/>
      <x:c r="D5" s="1"/>
      <x:c r="E5" s="1"/>
      <x:c r="F5" s="1"/>
      <x:c r="G5" s="1"/>
      <x:c r="H5" s="1"/>
      <x:c r="I5" s="1"/>
      <x:c r="J5" s="1"/>
    </x:row>
    <x:row r="6" ht="23" customHeight="1">
      <x:c r="A6" s="1" t="str">
        <x:v>Importe (S/)</x:v>
      </x:c>
      <x:c r="B6" s="3" t="n">
        <x:f>IF(B5="CALCULADO",B46,IF(B5="COMPONENTE",B47,IF(B5="SIN DERECHO",0,"No determinado")))</x:f>
        <x:v>1750</x:v>
      </x:c>
      <x:c r="C6" s="1"/>
      <x:c r="D6" s="1"/>
      <x:c r="E6" s="1"/>
      <x:c r="F6" s="1"/>
      <x:c r="G6" s="1"/>
      <x:c r="H6" s="1"/>
      <x:c r="I6" s="1"/>
      <x:c r="J6" s="1"/>
    </x:row>
    <x:row r="7" ht="23" customHeight="1">
      <x:c r="A7" s="1" t="str">
        <x:v>RC (S/)</x:v>
      </x:c>
      <x:c r="B7" s="4" t="n">
        <x:f>IF(B5="CALCULADO",B42,"No aplica")</x:f>
        <x:v>3500</x:v>
      </x:c>
      <x:c r="C7" s="1"/>
      <x:c r="D7" s="1"/>
      <x:c r="E7" s="1"/>
      <x:c r="F7" s="1"/>
      <x:c r="G7" s="1"/>
      <x:c r="H7" s="1"/>
      <x:c r="I7" s="1"/>
      <x:c r="J7" s="1"/>
    </x:row>
    <x:row r="8" ht="23" customHeight="1">
      <x:c r="A8" s="1"/>
      <x:c r="B8" s="1"/>
      <x:c r="C8" s="1"/>
      <x:c r="D8" s="1" t="str">
        <x:v>Complemento variable: un mismo concepto en seis meses</x:v>
      </x:c>
      <x:c r="E8" s="1"/>
      <x:c r="F8" s="1"/>
      <x:c r="G8" s="1"/>
      <x:c r="H8" s="1"/>
      <x:c r="I8" s="1"/>
      <x:c r="J8" s="1"/>
    </x:row>
    <x:row r="9" ht="23" customHeight="1">
      <x:c r="A9" s="1"/>
      <x:c r="B9" s="1"/>
      <x:c r="C9" s="1"/>
      <x:c r="D9" s="13" t="str">
        <x:v>Mes 1</x:v>
      </x:c>
      <x:c r="E9" s="13" t="str">
        <x:v>Mes 2</x:v>
      </x:c>
      <x:c r="F9" s="13" t="str">
        <x:v>Mes 3</x:v>
      </x:c>
      <x:c r="G9" s="13" t="str">
        <x:v>Mes 4</x:v>
      </x:c>
      <x:c r="H9" s="13" t="str">
        <x:v>Mes 5</x:v>
      </x:c>
      <x:c r="I9" s="13" t="str">
        <x:v>Mes 6</x:v>
      </x:c>
      <x:c r="J9" s="1"/>
    </x:row>
    <x:row r="10" ht="23" customHeight="1">
      <x:c r="A10" s="1" t="str">
        <x:v>Régimen aplicable</x:v>
      </x:c>
      <x:c r="B10" s="6" t="str">
        <x:v>General 728</x:v>
      </x:c>
      <x:c r="C10" s="1"/>
      <x:c r="D10" s="8" t="n">
        <x:v>0</x:v>
      </x:c>
      <x:c r="E10" s="8" t="n">
        <x:v>0</x:v>
      </x:c>
      <x:c r="F10" s="8" t="n">
        <x:v>0</x:v>
      </x:c>
      <x:c r="G10" s="8" t="n">
        <x:v>0</x:v>
      </x:c>
      <x:c r="H10" s="8" t="n">
        <x:v>0</x:v>
      </x:c>
      <x:c r="I10" s="8" t="n">
        <x:v>0</x:v>
      </x:c>
      <x:c r="J10" s="1"/>
    </x:row>
    <x:row r="11" ht="23" customHeight="1">
      <x:c r="A11" s="1" t="str">
        <x:v>Régimen e historial verificados</x:v>
      </x:c>
      <x:c r="B11" s="6" t="str">
        <x:v>Sí</x:v>
      </x:c>
      <x:c r="C11" s="1"/>
      <x:c r="D11" s="1"/>
      <x:c r="E11" s="1"/>
      <x:c r="F11" s="1"/>
      <x:c r="G11" s="1"/>
      <x:c r="H11" s="1"/>
      <x:c r="I11" s="1"/>
      <x:c r="J11" s="1"/>
    </x:row>
    <x:row r="12" ht="23" customHeight="1">
      <x:c r="A12" s="1" t="str">
        <x:v>Mes mínimo de vínculo cumplido</x:v>
      </x:c>
      <x:c r="B12" s="6" t="str">
        <x:v>Sí</x:v>
      </x:c>
      <x:c r="C12" s="1"/>
      <x:c r="D12" s="1" t="str">
        <x:v>Ejemplo: horas extra. No mezclar conceptos distintos.</x:v>
      </x:c>
      <x:c r="E12" s="1"/>
      <x:c r="F12" s="1"/>
      <x:c r="G12" s="1"/>
      <x:c r="H12" s="1"/>
      <x:c r="I12" s="1"/>
      <x:c r="J12" s="1"/>
    </x:row>
    <x:row r="13" ht="23" customHeight="1">
      <x:c r="A13" s="1" t="str">
        <x:v>Jornada con derecho a CTS verificada</x:v>
      </x:c>
      <x:c r="B13" s="6" t="str">
        <x:v>Sí</x:v>
      </x:c>
      <x:c r="C13" s="1"/>
      <x:c r="D13" s="1" t="str">
        <x:v>Cero = no percibido. Blanco = dato pendiente.</x:v>
      </x:c>
      <x:c r="E13" s="1"/>
      <x:c r="F13" s="1"/>
      <x:c r="G13" s="1"/>
      <x:c r="H13" s="1"/>
      <x:c r="I13" s="1"/>
      <x:c r="J13" s="1"/>
    </x:row>
    <x:row r="14" ht="23" customHeight="1">
      <x:c r="A14" s="1" t="str">
        <x:v>CTS incluida en convenio RIA</x:v>
      </x:c>
      <x:c r="B14" s="6" t="str">
        <x:v>No</x:v>
      </x:c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1" t="str">
        <x:v>¿Cálculo al cese?</x:v>
      </x:c>
      <x:c r="B15" s="6" t="str">
        <x:v>No</x:v>
      </x:c>
      <x:c r="C15" s="1"/>
      <x:c r="D15" s="1" t="str">
        <x:v>Amarillo: entradas editables. Fórmulas en negro.</x:v>
      </x:c>
      <x:c r="E15" s="1"/>
      <x:c r="F15" s="1"/>
      <x:c r="G15" s="1"/>
      <x:c r="H15" s="1"/>
      <x:c r="I15" s="1"/>
      <x:c r="J15" s="1"/>
    </x:row>
    <x:row r="16" ht="23" customHeight="1">
      <x:c r="A16" s="1" t="str">
        <x:v>Meses completos del período (0–6)</x:v>
      </x:c>
      <x:c r="B16" s="6" t="n">
        <x:v>6</x:v>
      </x:c>
      <x:c r="C16" s="1"/>
      <x:c r="D16" s="1"/>
      <x:c r="E16" s="1"/>
      <x:c r="F16" s="1"/>
      <x:c r="G16" s="1"/>
      <x:c r="H16" s="1"/>
      <x:c r="I16" s="1"/>
      <x:c r="J16" s="1"/>
    </x:row>
    <x:row r="17" ht="23" customHeight="1">
      <x:c r="A17" s="1" t="str">
        <x:v>Días adicionales (0–29)</x:v>
      </x:c>
      <x:c r="B17" s="6" t="n">
        <x:v>0</x:v>
      </x:c>
      <x:c r="C17" s="1"/>
      <x:c r="D17" s="1" t="str">
        <x:v>El régimen se verifica con contrato e historial REMYPE.</x:v>
      </x:c>
      <x:c r="E17" s="1"/>
      <x:c r="F17" s="1"/>
      <x:c r="G17" s="1"/>
      <x:c r="H17" s="1"/>
      <x:c r="I17" s="1"/>
      <x:c r="J17" s="1"/>
    </x:row>
    <x:row r="18" ht="23" customHeight="1">
      <x:c r="A18" s="1" t="str">
        <x:v>Días NO computables</x:v>
      </x:c>
      <x:c r="B18" s="6" t="n">
        <x:v>0</x:v>
      </x:c>
      <x:c r="C18" s="1"/>
      <x:c r="D18" s="1" t="str">
        <x:v>Derechos previos a REMYPE: revisar régimen general.</x:v>
      </x:c>
      <x:c r="E18" s="1"/>
      <x:c r="F18" s="1"/>
      <x:c r="G18" s="1"/>
      <x:c r="H18" s="1"/>
      <x:c r="I18" s="1"/>
      <x:c r="J18" s="1"/>
    </x:row>
    <x:row r="19" ht="23" customHeight="1">
      <x:c r="A19" s="1" t="str">
        <x:v>Sueldo de abril/octubre o al cese</x:v>
      </x:c>
      <x:c r="B19" s="7" t="n">
        <x:v>3000</x:v>
      </x:c>
      <x:c r="C19" s="1"/>
      <x:c r="D19" s="1"/>
      <x:c r="E19" s="1"/>
      <x:c r="F19" s="1"/>
      <x:c r="G19" s="1"/>
      <x:c r="H19" s="1"/>
      <x:c r="I19" s="1"/>
      <x:c r="J19" s="1"/>
    </x:row>
    <x:row r="20" ht="23" customHeight="1">
      <x:c r="A20" s="1" t="str">
        <x:v>Asignación familiar computable</x:v>
      </x:c>
      <x:c r="B20" s="7" t="n">
        <x:v>0</x:v>
      </x:c>
      <x:c r="C20" s="1"/>
      <x:c r="D20" s="1" t="str">
        <x:v>Tiempo: meses de 30 días; no usar días calendario / 360.</x:v>
      </x:c>
      <x:c r="E20" s="1"/>
      <x:c r="F20" s="1"/>
      <x:c r="G20" s="1"/>
      <x:c r="H20" s="1"/>
      <x:c r="I20" s="1"/>
      <x:c r="J20" s="1"/>
    </x:row>
    <x:row r="21" ht="23" customHeight="1">
      <x:c r="A21" s="1" t="str">
        <x:v>Otros conceptos fijos computables</x:v>
      </x:c>
      <x:c r="B21" s="7" t="n">
        <x:v>0</x:v>
      </x:c>
      <x:c r="C21" s="1"/>
      <x:c r="D21" s="1" t="str">
        <x:v>No restar vacaciones, maternidad ni licencia pagada.</x:v>
      </x:c>
      <x:c r="E21" s="1"/>
      <x:c r="F21" s="1"/>
      <x:c r="G21" s="1"/>
      <x:c r="H21" s="1"/>
      <x:c r="I21" s="1"/>
      <x:c r="J21" s="1"/>
    </x:row>
    <x:row r="22" ht="23" customHeight="1">
      <x:c r="A22" s="1" t="str">
        <x:v>Gratificación percibida (sin bono extraordinario)</x:v>
      </x:c>
      <x:c r="B22" s="7" t="n">
        <x:v>3000</x:v>
      </x:c>
      <x:c r="C22" s="1"/>
      <x:c r="D22" s="1" t="str">
        <x:v>Enfermedad: revisar límite legal y año de cómputo.</x:v>
      </x:c>
      <x:c r="E22" s="1"/>
      <x:c r="F22" s="1"/>
      <x:c r="G22" s="1"/>
      <x:c r="H22" s="1"/>
      <x:c r="I22" s="1"/>
      <x:c r="J22" s="1"/>
    </x:row>
    <x:row r="23" ht="23" customHeight="1">
      <x:c r="A23" s="1" t="str">
        <x:v>Otros conceptos semestrales percibidos</x:v>
      </x:c>
      <x:c r="B23" s="7" t="n">
        <x:v>0</x:v>
      </x:c>
      <x:c r="C23" s="1"/>
      <x:c r="D23" s="1"/>
      <x:c r="E23" s="1"/>
      <x:c r="F23" s="1"/>
      <x:c r="G23" s="1"/>
      <x:c r="H23" s="1"/>
      <x:c r="I23" s="1"/>
      <x:c r="J23" s="1"/>
    </x:row>
    <x:row r="24" ht="23" customHeight="1">
      <x:c r="A24" s="1" t="str">
        <x:v>Conceptos anuales percibidos en el semestre</x:v>
      </x:c>
      <x:c r="B24" s="7" t="n">
        <x:v>0</x:v>
      </x:c>
      <x:c r="C24" s="1"/>
      <x:c r="D24" s="1" t="str">
        <x:v>Tope MYPE: no es el saldo de la cuenta bancaria.</x:v>
      </x:c>
      <x:c r="E24" s="1"/>
      <x:c r="F24" s="1"/>
      <x:c r="G24" s="1"/>
      <x:c r="H24" s="1"/>
      <x:c r="I24" s="1"/>
      <x:c r="J24" s="1"/>
    </x:row>
    <x:row r="25" ht="23" customHeight="1">
      <x:c r="A25" s="1" t="str">
        <x:v>Remuneración principal: fija o variable</x:v>
      </x:c>
      <x:c r="B25" s="6" t="str">
        <x:v>Fija</x:v>
      </x:c>
      <x:c r="C25" s="1"/>
      <x:c r="D25" s="1" t="str">
        <x:v>Revalidar el tope si hubo cambios salariales o de régimen.</x:v>
      </x:c>
      <x:c r="E25" s="1"/>
      <x:c r="F25" s="1"/>
      <x:c r="G25" s="1"/>
      <x:c r="H25" s="1"/>
      <x:c r="I25" s="1"/>
      <x:c r="J25" s="1"/>
    </x:row>
    <x:row r="26" ht="23" customHeight="1">
      <x:c r="A26" s="1" t="str">
        <x:v>Total principal variable del período</x:v>
      </x:c>
      <x:c r="B26" s="7" t="n">
        <x:v>18000</x:v>
      </x:c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" t="str">
        <x:v>Divisor diario validado; semestre completo: 180</x:v>
      </x:c>
      <x:c r="B27" s="6" t="n">
        <x:v>180</x:v>
      </x:c>
      <x:c r="C27" s="1"/>
      <x:c r="D27" s="1" t="str">
        <x:v>Principal variable: divisor diario requiere sustento.</x:v>
      </x:c>
      <x:c r="E27" s="1"/>
      <x:c r="F27" s="1"/>
      <x:c r="G27" s="1"/>
      <x:c r="H27" s="1"/>
      <x:c r="I27" s="1"/>
      <x:c r="J27" s="1"/>
    </x:row>
    <x:row r="28" ht="23" customHeight="1">
      <x:c r="A28" s="1" t="str">
        <x:v>Saldo del tope MYPE en remuneraciones diarias</x:v>
      </x:c>
      <x:c r="B28" s="6" t="n">
        <x:v>90</x:v>
      </x:c>
      <x:c r="C28" s="1"/>
      <x:c r="D28" s="1" t="str">
        <x:v>Semestre completo: total / 180 × 30 = total / 6.</x:v>
      </x:c>
      <x:c r="E28" s="1"/>
      <x:c r="F28" s="1"/>
      <x:c r="G28" s="1"/>
      <x:c r="H28" s="1"/>
      <x:c r="I28" s="1"/>
      <x:c r="J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3" customHeight="1">
      <x:c r="A30" s="1" t="str">
        <x:v>Básica agraria mensual validada</x:v>
      </x:c>
      <x:c r="B30" s="7" t="n">
        <x:v>1230</x:v>
      </x:c>
      <x:c r="C30" s="1"/>
      <x:c r="D30" s="1" t="str">
        <x:v>Agrario: solo componente prorrateado; no depósito extra.</x:v>
      </x:c>
      <x:c r="E30" s="1"/>
      <x:c r="F30" s="1"/>
      <x:c r="G30" s="1"/>
      <x:c r="H30" s="1"/>
      <x:c r="I30" s="1"/>
      <x:c r="J30" s="1"/>
    </x:row>
    <x:row r="31" ht="23" customHeight="1">
      <x:c r="A31" s="1" t="str">
        <x:v>Días pagables de la RB agraria (0–31)</x:v>
      </x:c>
      <x:c r="B31" s="6" t="n">
        <x:v>30</x:v>
      </x:c>
      <x:c r="C31" s="1"/>
      <x:c r="D31" s="1" t="str">
        <x:v>CAS y otros: REVISAR no significa que no tengan CTS.</x:v>
      </x:c>
      <x:c r="E31" s="1"/>
      <x:c r="F31" s="1"/>
      <x:c r="G31" s="1"/>
      <x:c r="H31" s="1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" t="str">
        <x:v>Campos numéricos del régimen seleccionado</x:v>
      </x:c>
      <x:c r="B33" s="1" t="str">
        <x:f>IF(B10="Agrario prorrateado",IF(COUNT(B30:B31)=2,"OK","DATOS INVÁLIDOS"),IF(AND(COUNT(B50,B51,B18,B20,B21,B52,B23,B24)=8,COUNT(D10:I10)=6,IF(B25="Fija",ISNUMBER(B19),IF(B25="Variable",COUNT(B26:B27)=2,FALSE)),IF(B10="Pequeña REMYPE",ISNUMBER(B28),TRUE)),"OK","DATOS INVÁLIDOS"))</x:f>
        <x:v>OK</x:v>
      </x:c>
      <x:c r="C33" s="1"/>
      <x:c r="D33" s="1" t="str">
        <x:v>Modo automático: hoja Fechas y gratificación.</x:v>
      </x:c>
      <x:c r="E33" s="1"/>
      <x:c r="F33" s="1"/>
      <x:c r="G33" s="1"/>
      <x:c r="H33" s="1"/>
      <x:c r="I33" s="1"/>
      <x:c r="J33" s="1"/>
    </x:row>
    <x:row r="34" ht="23" customHeight="1">
      <x:c r="A34" s="10" t="str">
        <x:v>Validación de entradas del régimen seleccionado</x:v>
      </x:c>
      <x:c r="B34" s="10" t="str">
        <x:f>IF(B33&lt;&gt;"OK",B33,IF(B10="Agrario prorrateado",IF(AND(COUNT(B30:B31)=2,B30&gt;0,B31&gt;=0,B31&lt;=31,B31=INT(B31)),"OK","DATOS INVÁLIDOS"),IF(AND(COUNT(B50,B51,B18,B20,B21,B52,B23,B24)=8,MIN(B50,B51,B18,B20,B21,B52,B23,B24)&gt;=0,B50&lt;=6,B50=INT(B50),B51&lt;30,B51=INT(B51),B18=INT(B18),B50*30+B51&gt;0,B50*30+B51&lt;=180,B18&lt;=B50*30+B51,COUNT(D10:I10)=6,MIN(D10:I10)&gt;=0,OR(AND(B25="Fija",ISNUMBER(B19),B19&gt;=0),IF(B25="Variable",AND(COUNT(B26:B27)=2,B26&gt;=0,B27&gt;0,B27&lt;=184,B27=INT(B27)),FALSE)),OR(B10&lt;&gt;"Pequeña REMYPE",AND(ISNUMBER(B28),B28&gt;=0,B28&lt;=90))),"OK","DATOS INVÁLIDOS")))</x:f>
        <x:v>OK</x:v>
      </x:c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 t="str">
        <x:v>Días convencionales del período</x:v>
      </x:c>
      <x:c r="B36" s="1" t="n">
        <x:f>IF(B5="CALCULADO",B50*30+B51,"")</x:f>
        <x:v>180</x:v>
      </x:c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 t="str">
        <x:v>Días computables netos</x:v>
      </x:c>
      <x:c r="B37" s="1" t="n">
        <x:f>IF(B5="CALCULADO",B36-B18,"")</x:f>
        <x:v>180</x:v>
      </x:c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 t="str">
        <x:v>Principal mensual computable</x:v>
      </x:c>
      <x:c r="B38" s="9" t="n">
        <x:f>IF(B5="CALCULADO",IF(B25="Fija",B19,IF(B27&gt;0,B26/B27*30,"")),"")</x:f>
        <x:v>3000</x:v>
      </x:c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 t="str">
        <x:v>Meses con complemento variable</x:v>
      </x:c>
      <x:c r="B39" s="9" t="n">
        <x:f>COUNTIFS(D10:I10,"&gt;0")</x:f>
        <x:v>0</x:v>
      </x:c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 t="str">
        <x:v>Suma del complemento variable</x:v>
      </x:c>
      <x:c r="B40" s="9" t="n">
        <x:f>SUM(D10:I10)</x:f>
        <x:v>0</x:v>
      </x:c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 t="str">
        <x:v>Promedio complementario admitido</x:v>
      </x:c>
      <x:c r="B41" s="9" t="n">
        <x:f>IF(B5="CALCULADO",IF(B39&gt;=3,B40/(B36/30),0),"")</x:f>
        <x:v>0</x:v>
      </x:c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0" t="str">
        <x:v>Remuneración computable (RC)</x:v>
      </x:c>
      <x:c r="B42" s="11" t="n">
        <x:f>IF(B5="CALCULADO",SUM(B38,B20:B21,B41)+B52/6+B23/6+B24/12,"")</x:f>
        <x:v>3500</x:v>
      </x:c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 t="str">
        <x:v>Factor del régimen</x:v>
      </x:c>
      <x:c r="B43" s="9" t="n">
        <x:f>IF(B10="Pequeña REMYPE",0.5,1)</x:f>
        <x:v>1</x:v>
      </x:c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 t="str">
        <x:v>CTS antes del tope</x:v>
      </x:c>
      <x:c r="B44" s="9" t="n">
        <x:f>IF(B5="CALCULADO",B42*B37/360*B43,"")</x:f>
        <x:v>1750</x:v>
      </x:c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 t="str">
        <x:v>Tope disponible en soles (solo pequeña)</x:v>
      </x:c>
      <x:c r="B45" s="9" t="str">
        <x:f>IF(AND(B5="CALCULADO",B10="Pequeña REMYPE"),B42/30*B28,"")</x:f>
      </x:c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 t="str">
        <x:v>CTS calculada al céntimo</x:v>
      </x:c>
      <x:c r="B46" s="9" t="n">
        <x:f>IF(B5="CALCULADO",ROUND(IF(B10="Pequeña REMYPE",MIN(B44,B45),B44),2),"")</x:f>
        <x:v>1750</x:v>
      </x:c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 t="str">
        <x:v>Componente agrario prorrateado</x:v>
      </x:c>
      <x:c r="B47" s="9" t="str">
        <x:f>IF(B5="COMPONENTE",ROUND(B30*0.0972/30*B31,2),"")</x:f>
      </x:c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 t="str">
        <x:v>Meses efectivos</x:v>
      </x:c>
      <x:c r="B50" s="1" t="n">
        <x:f>IF('Fechas y gratificación'!B5="Manual",B16,'Fechas y gratificación'!B19)</x:f>
        <x:v>6</x:v>
      </x:c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 t="str">
        <x:v>Días efectivos</x:v>
      </x:c>
      <x:c r="B51" s="1" t="n">
        <x:f>IF('Fechas y gratificación'!B5="Manual",B17,'Fechas y gratificación'!B20)</x:f>
        <x:v>0</x:v>
      </x:c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 t="str">
        <x:v>Gratificación efectiva</x:v>
      </x:c>
      <x:c r="B52" s="1" t="n">
        <x:f>IF('Fechas y gratificación'!B10="Manual",B22,'Fechas y gratificación'!B24)</x:f>
        <x:v>3000</x:v>
      </x:c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 t="str">
        <x:v>Mes mínimo efectivo</x:v>
      </x:c>
      <x:c r="B53" s="1" t="str">
        <x:f>IF('Fechas y gratificación'!B5="Manual",B12,'Fechas y gratificación'!B21)</x:f>
        <x:v>Sí</x:v>
      </x:c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conditionalFormatting sqref="B5:B5">
    <x:cfRule type="containsText" dxfId="0" priority="1" operator="containsText" text="REVISAR"/>
    <x:cfRule type="containsText" dxfId="1" priority="2" operator="containsText" text="INVÁLIDOS"/>
  </x:conditionalFormatting>
  <x:dataValidations count="8">
    <x:dataValidation type="list" sqref="B10">
      <x:formula1>"General 728,Pequeña REMYPE,Micro REMYPE,Hogar,Agrario prorrateado,CAS,Público 276,Construcción civil,Otros"</x:formula1>
    </x:dataValidation>
    <x:dataValidation type="list" sqref="B11:B15">
      <x:formula1>"Sí,No"</x:formula1>
    </x:dataValidation>
    <x:dataValidation type="list" sqref="B25">
      <x:formula1>"Fija,Variable"</x:formula1>
    </x:dataValidation>
    <x:dataValidation type="whole" operator="between" sqref="B16">
      <x:formula1>0</x:formula1>
      <x:formula2>6</x:formula2>
    </x:dataValidation>
    <x:dataValidation type="whole" operator="between" sqref="B17">
      <x:formula1>0</x:formula1>
      <x:formula2>29</x:formula2>
    </x:dataValidation>
    <x:dataValidation type="whole" operator="between" sqref="B18">
      <x:formula1>0</x:formula1>
      <x:formula2>180</x:formula2>
    </x:dataValidation>
    <x:dataValidation type="whole" operator="between" sqref="B27">
      <x:formula1>0</x:formula1>
      <x:formula2>184</x:formula2>
    </x:dataValidation>
    <x:dataValidation type="whole" operator="between" sqref="B31">
      <x:formula1>0</x:formula1>
      <x:formula2>31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22" hidden="0" customWidth="1"/>
    <x:col min="4" max="4" width="22" hidden="0" customWidth="1"/>
    <x:col min="5" max="5" width="25" hidden="0" customWidth="1"/>
    <x:col min="6" max="6" width="25" hidden="0" customWidth="1"/>
    <x:col min="7" max="7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Casos probados · mismo cálculo de CTS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 t="str">
        <x:v>Resultados capturados al ejecutar cada entrada en CTS. No se actualizan con tus ediciones.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 t="str">
        <x:v>La hoja CTS sí recalcula. Esta hoja documenta la prueba realizada el 27/10/2026.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3" customHeight="1">
      <x:c r="A6" s="13" t="str">
        <x:v>Caso</x:v>
      </x:c>
      <x:c r="B6" s="13" t="str">
        <x:v>Escenario</x:v>
      </x:c>
      <x:c r="C6" s="13" t="str">
        <x:v>Esperado S/</x:v>
      </x:c>
      <x:c r="D6" s="13" t="str">
        <x:v>Obtenido S/</x:v>
      </x:c>
      <x:c r="E6" s="13" t="str">
        <x:v>Estado obtenido</x:v>
      </x:c>
      <x:c r="F6" s="13" t="str">
        <x:v>Estado esperado</x:v>
      </x:c>
      <x:c r="G6" s="13" t="str">
        <x:v>Comprobación</x:v>
      </x:c>
      <x:c r="H6" s="1"/>
      <x:c r="I6" s="1"/>
      <x:c r="J6" s="1"/>
    </x:row>
    <x:row r="7" ht="23" customHeight="1">
      <x:c r="A7" s="1" t="str">
        <x:v>C01</x:v>
      </x:c>
      <x:c r="B7" s="1" t="str">
        <x:v>General: 3000 + 3000/6; 6 meses</x:v>
      </x:c>
      <x:c r="C7" s="9" t="n">
        <x:v>1750</x:v>
      </x:c>
      <x:c r="D7" s="9" t="n">
        <x:v>1750</x:v>
      </x:c>
      <x:c r="E7" s="1" t="str">
        <x:v>CALCULADO</x:v>
      </x:c>
      <x:c r="F7" s="1" t="str">
        <x:v>CALCULADO</x:v>
      </x:c>
      <x:c r="G7" s="1" t="str">
        <x:f>IF(AND(E7=F7,IF(ISNUMBER(C7),IF(ISNUMBER(D7),ABS(C7-D7)&lt;0.005,FALSE),C7=D7)),"Coincide","REVISAR")</x:f>
        <x:v>Coincide</x:v>
      </x:c>
      <x:c r="H7" s="1"/>
      <x:c r="I7" s="1"/>
      <x:c r="J7" s="1"/>
    </x:row>
    <x:row r="8" ht="23" customHeight="1">
      <x:c r="A8" s="1" t="str">
        <x:v>C02</x:v>
      </x:c>
      <x:c r="B8" s="1" t="str">
        <x:v>Trunco: 3 meses y 15 días</x:v>
      </x:c>
      <x:c r="C8" s="9" t="n">
        <x:v>1020.83</x:v>
      </x:c>
      <x:c r="D8" s="9" t="n">
        <x:v>1020.83</x:v>
      </x:c>
      <x:c r="E8" s="1" t="str">
        <x:v>CALCULADO</x:v>
      </x:c>
      <x:c r="F8" s="1" t="str">
        <x:v>CALCULADO</x:v>
      </x:c>
      <x:c r="G8" s="1" t="str">
        <x:f>IF(AND(E8=F8,IF(ISNUMBER(C8),IF(ISNUMBER(D8),ABS(C8-D8)&lt;0.005,FALSE),C8=D8)),"Coincide","REVISAR")</x:f>
        <x:v>Coincide</x:v>
      </x:c>
      <x:c r="H8" s="1"/>
      <x:c r="I8" s="1"/>
      <x:c r="J8" s="1"/>
    </x:row>
    <x:row r="9" ht="23" customHeight="1">
      <x:c r="A9" s="1" t="str">
        <x:v>C03</x:v>
      </x:c>
      <x:c r="B9" s="1" t="str">
        <x:v>Cinco días no computables</x:v>
      </x:c>
      <x:c r="C9" s="9" t="n">
        <x:v>1701.39</x:v>
      </x:c>
      <x:c r="D9" s="9" t="n">
        <x:v>1701.39</x:v>
      </x:c>
      <x:c r="E9" s="1" t="str">
        <x:v>CALCULADO</x:v>
      </x:c>
      <x:c r="F9" s="1" t="str">
        <x:v>CALCULADO</x:v>
      </x:c>
      <x:c r="G9" s="1" t="str">
        <x:f>IF(AND(E9=F9,IF(ISNUMBER(C9),IF(ISNUMBER(D9),ABS(C9-D9)&lt;0.005,FALSE),C9=D9)),"Coincide","REVISAR")</x:f>
        <x:v>Coincide</x:v>
      </x:c>
      <x:c r="H9" s="1"/>
      <x:c r="I9" s="1"/>
      <x:c r="J9" s="1"/>
    </x:row>
    <x:row r="10" ht="23" customHeight="1">
      <x:c r="A10" s="1" t="str">
        <x:v>C04</x:v>
      </x:c>
      <x:c r="B10" s="1" t="str">
        <x:v>Familiar vigente 123; grati julio 3113</x:v>
      </x:c>
      <x:c r="C10" s="9" t="n">
        <x:v>1820.92</x:v>
      </x:c>
      <x:c r="D10" s="9" t="n">
        <x:v>1820.92</x:v>
      </x:c>
      <x:c r="E10" s="1" t="str">
        <x:v>CALCULADO</x:v>
      </x:c>
      <x:c r="F10" s="1" t="str">
        <x:v>CALCULADO</x:v>
      </x:c>
      <x:c r="G10" s="1" t="str">
        <x:f>IF(AND(E10=F10,IF(ISNUMBER(C10),IF(ISNUMBER(D10),ABS(C10-D10)&lt;0.005,FALSE),C10=D10)),"Coincide","REVISAR")</x:f>
        <x:v>Coincide</x:v>
      </x:c>
      <x:c r="H10" s="1"/>
      <x:c r="I10" s="1"/>
      <x:c r="J10" s="1"/>
    </x:row>
    <x:row r="11" ht="23" customHeight="1">
      <x:c r="A11" s="1" t="str">
        <x:v>C05</x:v>
      </x:c>
      <x:c r="B11" s="1" t="str">
        <x:v>Complemento regular: tres meses</x:v>
      </x:c>
      <x:c r="C11" s="9" t="n">
        <x:v>1900</x:v>
      </x:c>
      <x:c r="D11" s="9" t="n">
        <x:v>1900</x:v>
      </x:c>
      <x:c r="E11" s="1" t="str">
        <x:v>CALCULADO</x:v>
      </x:c>
      <x:c r="F11" s="1" t="str">
        <x:v>CALCULADO</x:v>
      </x:c>
      <x:c r="G11" s="1" t="str">
        <x:f>IF(AND(E11=F11,IF(ISNUMBER(C11),IF(ISNUMBER(D11),ABS(C11-D11)&lt;0.005,FALSE),C11=D11)),"Coincide","REVISAR")</x:f>
        <x:v>Coincide</x:v>
      </x:c>
      <x:c r="H11" s="1"/>
      <x:c r="I11" s="1"/>
      <x:c r="J11" s="1"/>
    </x:row>
    <x:row r="12" ht="23" customHeight="1">
      <x:c r="A12" s="1" t="str">
        <x:v>C06</x:v>
      </x:c>
      <x:c r="B12" s="1" t="str">
        <x:v>Complemento en dos meses: excluido</x:v>
      </x:c>
      <x:c r="C12" s="9" t="n">
        <x:v>1750</x:v>
      </x:c>
      <x:c r="D12" s="9" t="n">
        <x:v>1750</x:v>
      </x:c>
      <x:c r="E12" s="1" t="str">
        <x:v>CALCULADO</x:v>
      </x:c>
      <x:c r="F12" s="1" t="str">
        <x:v>CALCULADO</x:v>
      </x:c>
      <x:c r="G12" s="1" t="str">
        <x:f>IF(AND(E12=F12,IF(ISNUMBER(C12),IF(ISNUMBER(D12),ABS(C12-D12)&lt;0.005,FALSE),C12=D12)),"Coincide","REVISAR")</x:f>
        <x:v>Coincide</x:v>
      </x:c>
      <x:c r="H12" s="1"/>
      <x:c r="I12" s="1"/>
      <x:c r="J12" s="1"/>
    </x:row>
    <x:row r="13" ht="23" customHeight="1">
      <x:c r="A13" s="1" t="str">
        <x:v>C07</x:v>
      </x:c>
      <x:c r="B13" s="1" t="str">
        <x:v>Principal variable: total 24000 / 6</x:v>
      </x:c>
      <x:c r="C13" s="9" t="n">
        <x:v>2333.33</x:v>
      </x:c>
      <x:c r="D13" s="9" t="n">
        <x:v>2333.33</x:v>
      </x:c>
      <x:c r="E13" s="1" t="str">
        <x:v>CALCULADO</x:v>
      </x:c>
      <x:c r="F13" s="1" t="str">
        <x:v>CALCULADO</x:v>
      </x:c>
      <x:c r="G13" s="1" t="str">
        <x:f>IF(AND(E13=F13,IF(ISNUMBER(C13),IF(ISNUMBER(D13),ABS(C13-D13)&lt;0.005,FALSE),C13=D13)),"Coincide","REVISAR")</x:f>
        <x:v>Coincide</x:v>
      </x:c>
      <x:c r="H13" s="1"/>
      <x:c r="I13" s="1"/>
      <x:c r="J13" s="1"/>
    </x:row>
    <x:row r="14" ht="23" customHeight="1">
      <x:c r="A14" s="1" t="str">
        <x:v>C08</x:v>
      </x:c>
      <x:c r="B14" s="1" t="str">
        <x:v>Principal variable trunco: 12000/90×30</x:v>
      </x:c>
      <x:c r="C14" s="9" t="n">
        <x:v>1000</x:v>
      </x:c>
      <x:c r="D14" s="9" t="n">
        <x:v>1000</x:v>
      </x:c>
      <x:c r="E14" s="1" t="str">
        <x:v>CALCULADO</x:v>
      </x:c>
      <x:c r="F14" s="1" t="str">
        <x:v>CALCULADO</x:v>
      </x:c>
      <x:c r="G14" s="1" t="str">
        <x:f>IF(AND(E14=F14,IF(ISNUMBER(C14),IF(ISNUMBER(D14),ABS(C14-D14)&lt;0.005,FALSE),C14=D14)),"Coincide","REVISAR")</x:f>
        <x:v>Coincide</x:v>
      </x:c>
      <x:c r="H14" s="1"/>
      <x:c r="I14" s="1"/>
      <x:c r="J14" s="1"/>
    </x:row>
    <x:row r="15" ht="23" customHeight="1">
      <x:c r="A15" s="1" t="str">
        <x:v>C09</x:v>
      </x:c>
      <x:c r="B15" s="1" t="str">
        <x:v>Pequeña: grati media 1500</x:v>
      </x:c>
      <x:c r="C15" s="9" t="n">
        <x:v>812.5</x:v>
      </x:c>
      <x:c r="D15" s="9" t="n">
        <x:v>812.5</x:v>
      </x:c>
      <x:c r="E15" s="1" t="str">
        <x:v>CALCULADO</x:v>
      </x:c>
      <x:c r="F15" s="1" t="str">
        <x:v>CALCULADO</x:v>
      </x:c>
      <x:c r="G15" s="1" t="str">
        <x:f>IF(AND(E15=F15,IF(ISNUMBER(C15),IF(ISNUMBER(D15),ABS(C15-D15)&lt;0.005,FALSE),C15=D15)),"Coincide","REVISAR")</x:f>
        <x:v>Coincide</x:v>
      </x:c>
      <x:c r="H15" s="1"/>
      <x:c r="I15" s="1"/>
      <x:c r="J15" s="1"/>
    </x:row>
    <x:row r="16" ht="23" customHeight="1">
      <x:c r="A16" s="1" t="str">
        <x:v>C10</x:v>
      </x:c>
      <x:c r="B16" s="1" t="str">
        <x:v>Pequeña: quedan 2 remuneraciones diarias</x:v>
      </x:c>
      <x:c r="C16" s="9" t="n">
        <x:v>216.67</x:v>
      </x:c>
      <x:c r="D16" s="9" t="n">
        <x:v>216.67</x:v>
      </x:c>
      <x:c r="E16" s="1" t="str">
        <x:v>CALCULADO</x:v>
      </x:c>
      <x:c r="F16" s="1" t="str">
        <x:v>CALCULADO</x:v>
      </x:c>
      <x:c r="G16" s="1" t="str">
        <x:f>IF(AND(E16=F16,IF(ISNUMBER(C16),IF(ISNUMBER(D16),ABS(C16-D16)&lt;0.005,FALSE),C16=D16)),"Coincide","REVISAR")</x:f>
        <x:v>Coincide</x:v>
      </x:c>
      <x:c r="H16" s="1"/>
      <x:c r="I16" s="1"/>
      <x:c r="J16" s="1"/>
    </x:row>
    <x:row r="17" ht="23" customHeight="1">
      <x:c r="A17" s="1" t="str">
        <x:v>C11</x:v>
      </x:c>
      <x:c r="B17" s="1" t="str">
        <x:v>Micro especial: régimen confirmado</x:v>
      </x:c>
      <x:c r="C17" s="9" t="n">
        <x:v>0</x:v>
      </x:c>
      <x:c r="D17" s="9" t="n">
        <x:v>0</x:v>
      </x:c>
      <x:c r="E17" s="1" t="str">
        <x:v>SIN DERECHO</x:v>
      </x:c>
      <x:c r="F17" s="1" t="str">
        <x:v>SIN DERECHO</x:v>
      </x:c>
      <x:c r="G17" s="1" t="str">
        <x:f>IF(AND(E17=F17,IF(ISNUMBER(C17),IF(ISNUMBER(D17),ABS(C17-D17)&lt;0.005,FALSE),C17=D17)),"Coincide","REVISAR")</x:f>
        <x:v>Coincide</x:v>
      </x:c>
      <x:c r="H17" s="1"/>
      <x:c r="I17" s="1"/>
      <x:c r="J17" s="1"/>
    </x:row>
    <x:row r="18" ht="23" customHeight="1">
      <x:c r="A18" s="1" t="str">
        <x:v>C12</x:v>
      </x:c>
      <x:c r="B18" s="1" t="str">
        <x:v>Hogar con condiciones verificadas</x:v>
      </x:c>
      <x:c r="C18" s="9" t="n">
        <x:v>1750</x:v>
      </x:c>
      <x:c r="D18" s="9" t="n">
        <x:v>1750</x:v>
      </x:c>
      <x:c r="E18" s="1" t="str">
        <x:v>CALCULADO</x:v>
      </x:c>
      <x:c r="F18" s="1" t="str">
        <x:v>CALCULADO</x:v>
      </x:c>
      <x:c r="G18" s="1" t="str">
        <x:f>IF(AND(E18=F18,IF(ISNUMBER(C18),IF(ISNUMBER(D18),ABS(C18-D18)&lt;0.005,FALSE),C18=D18)),"Coincide","REVISAR")</x:f>
        <x:v>Coincide</x:v>
      </x:c>
      <x:c r="H18" s="1"/>
      <x:c r="I18" s="1"/>
      <x:c r="J18" s="1"/>
    </x:row>
    <x:row r="19" ht="23" customHeight="1">
      <x:c r="A19" s="1" t="str">
        <x:v>C13</x:v>
      </x:c>
      <x:c r="B19" s="1" t="str">
        <x:v>Régimen o historial sin verificar</x:v>
      </x:c>
      <x:c r="C19" s="9" t="str">
        <x:v>No determinado</x:v>
      </x:c>
      <x:c r="D19" s="9" t="str">
        <x:v>No determinado</x:v>
      </x:c>
      <x:c r="E19" s="1" t="str">
        <x:v>REVISAR</x:v>
      </x:c>
      <x:c r="F19" s="1" t="str">
        <x:v>REVISAR</x:v>
      </x:c>
      <x:c r="G19" s="1" t="str">
        <x:f>IF(AND(E19=F19,IF(ISNUMBER(C19),IF(ISNUMBER(D19),ABS(C19-D19)&lt;0.005,FALSE),C19=D19)),"Coincide","REVISAR")</x:f>
        <x:v>Coincide</x:v>
      </x:c>
      <x:c r="H19" s="1"/>
      <x:c r="I19" s="1"/>
      <x:c r="J19" s="1"/>
    </x:row>
    <x:row r="20" ht="23" customHeight="1">
      <x:c r="A20" s="1" t="str">
        <x:v>C14</x:v>
      </x:c>
      <x:c r="B20" s="1" t="str">
        <x:v>Sin mes mínimo: continúa</x:v>
      </x:c>
      <x:c r="C20" s="9" t="str">
        <x:v>No determinado</x:v>
      </x:c>
      <x:c r="D20" s="9" t="str">
        <x:v>No determinado</x:v>
      </x:c>
      <x:c r="E20" s="1" t="str">
        <x:v>ACUMULAR</x:v>
      </x:c>
      <x:c r="F20" s="1" t="str">
        <x:v>ACUMULAR</x:v>
      </x:c>
      <x:c r="G20" s="1" t="str">
        <x:f>IF(AND(E20=F20,IF(ISNUMBER(C20),IF(ISNUMBER(D20),ABS(C20-D20)&lt;0.005,FALSE),C20=D20)),"Coincide","REVISAR")</x:f>
        <x:v>Coincide</x:v>
      </x:c>
      <x:c r="H20" s="1"/>
      <x:c r="I20" s="1"/>
      <x:c r="J20" s="1"/>
    </x:row>
    <x:row r="21" ht="23" customHeight="1">
      <x:c r="A21" s="1" t="str">
        <x:v>C15</x:v>
      </x:c>
      <x:c r="B21" s="1" t="str">
        <x:v>Sin mes mínimo: cesa</x:v>
      </x:c>
      <x:c r="C21" s="9" t="str">
        <x:v>No determinado</x:v>
      </x:c>
      <x:c r="D21" s="9" t="str">
        <x:v>No determinado</x:v>
      </x:c>
      <x:c r="E21" s="1" t="str">
        <x:v>SIN MES MÍNIMO</x:v>
      </x:c>
      <x:c r="F21" s="1" t="str">
        <x:v>SIN MES MÍNIMO</x:v>
      </x:c>
      <x:c r="G21" s="1" t="str">
        <x:f>IF(AND(E21=F21,IF(ISNUMBER(C21),IF(ISNUMBER(D21),ABS(C21-D21)&lt;0.005,FALSE),C21=D21)),"Coincide","REVISAR")</x:f>
        <x:v>Coincide</x:v>
      </x:c>
      <x:c r="H21" s="1"/>
      <x:c r="I21" s="1"/>
      <x:c r="J21" s="1"/>
    </x:row>
    <x:row r="22" ht="23" customHeight="1">
      <x:c r="A22" s="1" t="str">
        <x:v>C16</x:v>
      </x:c>
      <x:c r="B22" s="1" t="str">
        <x:v>RIA con CTS incluida</x:v>
      </x:c>
      <x:c r="C22" s="9" t="str">
        <x:v>No determinado</x:v>
      </x:c>
      <x:c r="D22" s="9" t="str">
        <x:v>No determinado</x:v>
      </x:c>
      <x:c r="E22" s="1" t="str">
        <x:v>INCLUIDA EN RIA</x:v>
      </x:c>
      <x:c r="F22" s="1" t="str">
        <x:v>INCLUIDA EN RIA</x:v>
      </x:c>
      <x:c r="G22" s="1" t="str">
        <x:f>IF(AND(E22=F22,IF(ISNUMBER(C22),IF(ISNUMBER(D22),ABS(C22-D22)&lt;0.005,FALSE),C22=D22)),"Coincide","REVISAR")</x:f>
        <x:v>Coincide</x:v>
      </x:c>
      <x:c r="H22" s="1"/>
      <x:c r="I22" s="1"/>
      <x:c r="J22" s="1"/>
    </x:row>
    <x:row r="23" ht="23" customHeight="1">
      <x:c r="A23" s="1" t="str">
        <x:v>C17</x:v>
      </x:c>
      <x:c r="B23" s="1" t="str">
        <x:v>Jornada no verificada</x:v>
      </x:c>
      <x:c r="C23" s="9" t="str">
        <x:v>No determinado</x:v>
      </x:c>
      <x:c r="D23" s="9" t="str">
        <x:v>No determinado</x:v>
      </x:c>
      <x:c r="E23" s="1" t="str">
        <x:v>REVISAR JORNADA</x:v>
      </x:c>
      <x:c r="F23" s="1" t="str">
        <x:v>REVISAR JORNADA</x:v>
      </x:c>
      <x:c r="G23" s="1" t="str">
        <x:f>IF(AND(E23=F23,IF(ISNUMBER(C23),IF(ISNUMBER(D23),ABS(C23-D23)&lt;0.005,FALSE),C23=D23)),"Coincide","REVISAR")</x:f>
        <x:v>Coincide</x:v>
      </x:c>
      <x:c r="H23" s="1"/>
      <x:c r="I23" s="1"/>
      <x:c r="J23" s="1"/>
    </x:row>
    <x:row r="24" ht="23" customHeight="1">
      <x:c r="A24" s="1" t="str">
        <x:v>C18</x:v>
      </x:c>
      <x:c r="B24" s="1" t="str">
        <x:v>CAS: no aplicar fórmula privada</x:v>
      </x:c>
      <x:c r="C24" s="9" t="str">
        <x:v>No determinado</x:v>
      </x:c>
      <x:c r="D24" s="9" t="str">
        <x:v>No determinado</x:v>
      </x:c>
      <x:c r="E24" s="1" t="str">
        <x:v>REVISAR</x:v>
      </x:c>
      <x:c r="F24" s="1" t="str">
        <x:v>REVISAR</x:v>
      </x:c>
      <x:c r="G24" s="1" t="str">
        <x:f>IF(AND(E24=F24,IF(ISNUMBER(C24),IF(ISNUMBER(D24),ABS(C24-D24)&lt;0.005,FALSE),C24=D24)),"Coincide","REVISAR")</x:f>
        <x:v>Coincide</x:v>
      </x:c>
      <x:c r="H24" s="1"/>
      <x:c r="I24" s="1"/>
      <x:c r="J24" s="1"/>
    </x:row>
    <x:row r="25" ht="23" customHeight="1">
      <x:c r="A25" s="1" t="str">
        <x:v>C19</x:v>
      </x:c>
      <x:c r="B25" s="1" t="str">
        <x:v>Público 276: revisión específica</x:v>
      </x:c>
      <x:c r="C25" s="9" t="str">
        <x:v>No determinado</x:v>
      </x:c>
      <x:c r="D25" s="9" t="str">
        <x:v>No determinado</x:v>
      </x:c>
      <x:c r="E25" s="1" t="str">
        <x:v>REVISAR</x:v>
      </x:c>
      <x:c r="F25" s="1" t="str">
        <x:v>REVISAR</x:v>
      </x:c>
      <x:c r="G25" s="1" t="str">
        <x:f>IF(AND(E25=F25,IF(ISNUMBER(C25),IF(ISNUMBER(D25),ABS(C25-D25)&lt;0.005,FALSE),C25=D25)),"Coincide","REVISAR")</x:f>
        <x:v>Coincide</x:v>
      </x:c>
      <x:c r="H25" s="1"/>
      <x:c r="I25" s="1"/>
      <x:c r="J25" s="1"/>
    </x:row>
    <x:row r="26" ht="23" customHeight="1">
      <x:c r="A26" s="1" t="str">
        <x:v>C20</x:v>
      </x:c>
      <x:c r="B26" s="1" t="str">
        <x:v>Construcción: revisión específica</x:v>
      </x:c>
      <x:c r="C26" s="9" t="str">
        <x:v>No determinado</x:v>
      </x:c>
      <x:c r="D26" s="9" t="str">
        <x:v>No determinado</x:v>
      </x:c>
      <x:c r="E26" s="1" t="str">
        <x:v>REVISAR</x:v>
      </x:c>
      <x:c r="F26" s="1" t="str">
        <x:v>REVISAR</x:v>
      </x:c>
      <x:c r="G26" s="1" t="str">
        <x:f>IF(AND(E26=F26,IF(ISNUMBER(C26),IF(ISNUMBER(D26),ABS(C26-D26)&lt;0.005,FALSE),C26=D26)),"Coincide","REVISAR")</x:f>
        <x:v>Coincide</x:v>
      </x:c>
      <x:c r="H26" s="1"/>
      <x:c r="I26" s="1"/>
      <x:c r="J26" s="1"/>
    </x:row>
    <x:row r="27" ht="23" customHeight="1">
      <x:c r="A27" s="1" t="str">
        <x:v>C21</x:v>
      </x:c>
      <x:c r="B27" s="1" t="str">
        <x:v>Agrario: básica 1230 y 30 días</x:v>
      </x:c>
      <x:c r="C27" s="9" t="n">
        <x:v>119.56</x:v>
      </x:c>
      <x:c r="D27" s="9" t="n">
        <x:v>119.56</x:v>
      </x:c>
      <x:c r="E27" s="1" t="str">
        <x:v>COMPONENTE</x:v>
      </x:c>
      <x:c r="F27" s="1" t="str">
        <x:v>COMPONENTE</x:v>
      </x:c>
      <x:c r="G27" s="1" t="str">
        <x:f>IF(AND(E27=F27,IF(ISNUMBER(C27),IF(ISNUMBER(D27),ABS(C27-D27)&lt;0.005,FALSE),C27=D27)),"Coincide","REVISAR")</x:f>
        <x:v>Coincide</x:v>
      </x:c>
      <x:c r="H27" s="1"/>
      <x:c r="I27" s="1"/>
      <x:c r="J27" s="1"/>
    </x:row>
    <x:row r="28" ht="23" customHeight="1">
      <x:c r="A28" s="1" t="str">
        <x:v>C22</x:v>
      </x:c>
      <x:c r="B28" s="1" t="str">
        <x:v>Agrario: básica 1500 y 15 días</x:v>
      </x:c>
      <x:c r="C28" s="9" t="n">
        <x:v>72.9</x:v>
      </x:c>
      <x:c r="D28" s="9" t="n">
        <x:v>72.9</x:v>
      </x:c>
      <x:c r="E28" s="1" t="str">
        <x:v>COMPONENTE</x:v>
      </x:c>
      <x:c r="F28" s="1" t="str">
        <x:v>COMPONENTE</x:v>
      </x:c>
      <x:c r="G28" s="1" t="str">
        <x:f>IF(AND(E28=F28,IF(ISNUMBER(C28),IF(ISNUMBER(D28),ABS(C28-D28)&lt;0.005,FALSE),C28=D28)),"Coincide","REVISAR")</x:f>
        <x:v>Coincide</x:v>
      </x:c>
      <x:c r="H28" s="1"/>
      <x:c r="I28" s="1"/>
      <x:c r="J28" s="1"/>
    </x:row>
    <x:row r="29" ht="23" customHeight="1">
      <x:c r="A29" s="1" t="str">
        <x:v>C23</x:v>
      </x:c>
      <x:c r="B29" s="1" t="str">
        <x:v>Rechaza sueldo negativo</x:v>
      </x:c>
      <x:c r="C29" s="9" t="str">
        <x:v>No determinado</x:v>
      </x:c>
      <x:c r="D29" s="9" t="str">
        <x:v>No determinado</x:v>
      </x:c>
      <x:c r="E29" s="1" t="str">
        <x:v>DATOS INVÁLIDOS</x:v>
      </x:c>
      <x:c r="F29" s="1" t="str">
        <x:v>DATOS INVÁLIDOS</x:v>
      </x:c>
      <x:c r="G29" s="1" t="str">
        <x:f>IF(AND(E29=F29,IF(ISNUMBER(C29),IF(ISNUMBER(D29),ABS(C29-D29)&lt;0.005,FALSE),C29=D29)),"Coincide","REVISAR")</x:f>
        <x:v>Coincide</x:v>
      </x:c>
      <x:c r="H29" s="1"/>
      <x:c r="I29" s="1"/>
      <x:c r="J29" s="1"/>
    </x:row>
    <x:row r="30" ht="23" customHeight="1">
      <x:c r="A30" s="1" t="str">
        <x:v>C24</x:v>
      </x:c>
      <x:c r="B30" s="1" t="str">
        <x:v>Rechaza meses fraccionarios</x:v>
      </x:c>
      <x:c r="C30" s="9" t="str">
        <x:v>No determinado</x:v>
      </x:c>
      <x:c r="D30" s="9" t="str">
        <x:v>No determinado</x:v>
      </x:c>
      <x:c r="E30" s="1" t="str">
        <x:v>DATOS INVÁLIDOS</x:v>
      </x:c>
      <x:c r="F30" s="1" t="str">
        <x:v>DATOS INVÁLIDOS</x:v>
      </x:c>
      <x:c r="G30" s="1" t="str">
        <x:f>IF(AND(E30=F30,IF(ISNUMBER(C30),IF(ISNUMBER(D30),ABS(C30-D30)&lt;0.005,FALSE),C30=D30)),"Coincide","REVISAR")</x:f>
        <x:v>Coincide</x:v>
      </x:c>
      <x:c r="H30" s="1"/>
      <x:c r="I30" s="1"/>
      <x:c r="J30" s="1"/>
    </x:row>
    <x:row r="31" ht="23" customHeight="1">
      <x:c r="A31" s="1" t="str">
        <x:v>C25</x:v>
      </x:c>
      <x:c r="B31" s="1" t="str">
        <x:v>Rechaza días adicionales = 30</x:v>
      </x:c>
      <x:c r="C31" s="9" t="str">
        <x:v>No determinado</x:v>
      </x:c>
      <x:c r="D31" s="9" t="str">
        <x:v>No determinado</x:v>
      </x:c>
      <x:c r="E31" s="1" t="str">
        <x:v>DATOS INVÁLIDOS</x:v>
      </x:c>
      <x:c r="F31" s="1" t="str">
        <x:v>DATOS INVÁLIDOS</x:v>
      </x:c>
      <x:c r="G31" s="1" t="str">
        <x:f>IF(AND(E31=F31,IF(ISNUMBER(C31),IF(ISNUMBER(D31),ABS(C31-D31)&lt;0.005,FALSE),C31=D31)),"Coincide","REVISAR")</x:f>
        <x:v>Coincide</x:v>
      </x:c>
      <x:c r="H31" s="1"/>
      <x:c r="I31" s="1"/>
      <x:c r="J31" s="1"/>
    </x:row>
    <x:row r="32" ht="23" customHeight="1">
      <x:c r="A32" s="1" t="str">
        <x:v>C26</x:v>
      </x:c>
      <x:c r="B32" s="1" t="str">
        <x:v>Rechaza ausencias mayores al período</x:v>
      </x:c>
      <x:c r="C32" s="9" t="str">
        <x:v>No determinado</x:v>
      </x:c>
      <x:c r="D32" s="9" t="str">
        <x:v>No determinado</x:v>
      </x:c>
      <x:c r="E32" s="1" t="str">
        <x:v>DATOS INVÁLIDOS</x:v>
      </x:c>
      <x:c r="F32" s="1" t="str">
        <x:v>DATOS INVÁLIDOS</x:v>
      </x:c>
      <x:c r="G32" s="1" t="str">
        <x:f>IF(AND(E32=F32,IF(ISNUMBER(C32),IF(ISNUMBER(D32),ABS(C32-D32)&lt;0.005,FALSE),C32=D32)),"Coincide","REVISAR")</x:f>
        <x:v>Coincide</x:v>
      </x:c>
      <x:c r="H32" s="1"/>
      <x:c r="I32" s="1"/>
      <x:c r="J32" s="1"/>
    </x:row>
    <x:row r="33" ht="23" customHeight="1">
      <x:c r="A33" s="1" t="str">
        <x:v>C27</x:v>
      </x:c>
      <x:c r="B33" s="1" t="str">
        <x:v>Rechaza sueldo vacío; no convertir a cero</x:v>
      </x:c>
      <x:c r="C33" s="9" t="str">
        <x:v>No determinado</x:v>
      </x:c>
      <x:c r="D33" s="9" t="str">
        <x:v>No determinado</x:v>
      </x:c>
      <x:c r="E33" s="1" t="str">
        <x:v>DATOS INVÁLIDOS</x:v>
      </x:c>
      <x:c r="F33" s="1" t="str">
        <x:v>DATOS INVÁLIDOS</x:v>
      </x:c>
      <x:c r="G33" s="1" t="str">
        <x:f>IF(AND(E33=F33,IF(ISNUMBER(C33),IF(ISNUMBER(D33),ABS(C33-D33)&lt;0.005,FALSE),C33=D33)),"Coincide","REVISAR")</x:f>
        <x:v>Coincide</x:v>
      </x:c>
      <x:c r="H33" s="1"/>
      <x:c r="I33" s="1"/>
      <x:c r="J33" s="1"/>
    </x:row>
    <x:row r="34" ht="23" customHeight="1">
      <x:c r="A34" s="1" t="str">
        <x:v>C28</x:v>
      </x:c>
      <x:c r="B34" s="1" t="str">
        <x:v>Un mes de vínculo: un mes computable</x:v>
      </x:c>
      <x:c r="C34" s="9" t="n">
        <x:v>250</x:v>
      </x:c>
      <x:c r="D34" s="9" t="n">
        <x:v>250</x:v>
      </x:c>
      <x:c r="E34" s="1" t="str">
        <x:v>CALCULADO</x:v>
      </x:c>
      <x:c r="F34" s="1" t="str">
        <x:v>CALCULADO</x:v>
      </x:c>
      <x:c r="G34" s="1" t="str">
        <x:f>IF(AND(E34=F34,IF(ISNUMBER(C34),IF(ISNUMBER(D34),ABS(C34-D34)&lt;0.005,FALSE),C34=D34)),"Coincide","REVISAR")</x:f>
        <x:v>Coincide</x:v>
      </x:c>
      <x:c r="H34" s="1"/>
      <x:c r="I34" s="1"/>
      <x:c r="J34" s="1"/>
    </x:row>
    <x:row r="35" ht="23" customHeight="1">
      <x:c r="A35" s="1" t="str">
        <x:v>C29</x:v>
      </x:c>
      <x:c r="B35" s="1" t="str">
        <x:v>Ingreso sin gratificación percibida</x:v>
      </x:c>
      <x:c r="C35" s="9" t="n">
        <x:v>1500</x:v>
      </x:c>
      <x:c r="D35" s="9" t="n">
        <x:v>1500</x:v>
      </x:c>
      <x:c r="E35" s="1" t="str">
        <x:v>CALCULADO</x:v>
      </x:c>
      <x:c r="F35" s="1" t="str">
        <x:v>CALCULADO</x:v>
      </x:c>
      <x:c r="G35" s="1" t="str">
        <x:f>IF(AND(E35=F35,IF(ISNUMBER(C35),IF(ISNUMBER(D35),ABS(C35-D35)&lt;0.005,FALSE),C35=D35)),"Coincide","REVISAR")</x:f>
        <x:v>Coincide</x:v>
      </x:c>
      <x:c r="H35" s="1"/>
      <x:c r="I35" s="1"/>
      <x:c r="J35" s="1"/>
    </x:row>
    <x:row r="36" ht="23" customHeight="1">
      <x:c r="A36" s="1" t="str">
        <x:v>C30</x:v>
      </x:c>
      <x:c r="B36" s="1" t="str">
        <x:v>Anual percibido 1200 / 12</x:v>
      </x:c>
      <x:c r="C36" s="9" t="n">
        <x:v>1800</x:v>
      </x:c>
      <x:c r="D36" s="9" t="n">
        <x:v>1800</x:v>
      </x:c>
      <x:c r="E36" s="1" t="str">
        <x:v>CALCULADO</x:v>
      </x:c>
      <x:c r="F36" s="1" t="str">
        <x:v>CALCULADO</x:v>
      </x:c>
      <x:c r="G36" s="1" t="str">
        <x:f>IF(AND(E36=F36,IF(ISNUMBER(C36),IF(ISNUMBER(D36),ABS(C36-D36)&lt;0.005,FALSE),C36=D36)),"Coincide","REVISAR")</x:f>
        <x:v>Coincide</x:v>
      </x:c>
      <x:c r="H36" s="1"/>
      <x:c r="I36" s="1"/>
      <x:c r="J36" s="1"/>
    </x:row>
    <x:row r="37" ht="23" customHeight="1">
      <x:c r="A37" s="1" t="str">
        <x:v>C31</x:v>
      </x:c>
      <x:c r="B37" s="1" t="str">
        <x:v>Pequeña con tope agotado</x:v>
      </x:c>
      <x:c r="C37" s="9" t="n">
        <x:v>0</x:v>
      </x:c>
      <x:c r="D37" s="9" t="n">
        <x:v>0</x:v>
      </x:c>
      <x:c r="E37" s="1" t="str">
        <x:v>CALCULADO</x:v>
      </x:c>
      <x:c r="F37" s="1" t="str">
        <x:v>CALCULADO</x:v>
      </x:c>
      <x:c r="G37" s="1" t="str">
        <x:f>IF(AND(E37=F37,IF(ISNUMBER(C37),IF(ISNUMBER(D37),ABS(C37-D37)&lt;0.005,FALSE),C37=D37)),"Coincide","REVISAR")</x:f>
        <x:v>Coincide</x:v>
      </x:c>
      <x:c r="H37" s="1"/>
      <x:c r="I37" s="1"/>
      <x:c r="J37" s="1"/>
    </x:row>
    <x:row r="38" ht="23" customHeight="1">
      <x:c r="A38" s="1" t="str">
        <x:v>C32</x:v>
      </x:c>
      <x:c r="B38" s="1" t="str">
        <x:v>Variable tres meses; período tres meses</x:v>
      </x:c>
      <x:c r="C38" s="9" t="n">
        <x:v>825</x:v>
      </x:c>
      <x:c r="D38" s="9" t="n">
        <x:v>825</x:v>
      </x:c>
      <x:c r="E38" s="1" t="str">
        <x:v>CALCULADO</x:v>
      </x:c>
      <x:c r="F38" s="1" t="str">
        <x:v>CALCULADO</x:v>
      </x:c>
      <x:c r="G38" s="1" t="str">
        <x:f>IF(AND(E38=F38,IF(ISNUMBER(C38),IF(ISNUMBER(D38),ABS(C38-D38)&lt;0.005,FALSE),C38=D38)),"Coincide","REVISAR")</x:f>
        <x:v>Coincide</x:v>
      </x:c>
      <x:c r="H38" s="1"/>
      <x:c r="I38" s="1"/>
      <x:c r="J38" s="1"/>
    </x:row>
    <x:row r="39" ht="23" customHeight="1">
      <x:c r="A39" s="1" t="str">
        <x:v>C33</x:v>
      </x:c>
      <x:c r="B39" s="1" t="str">
        <x:v>Campo agrario vacío no bloquea general</x:v>
      </x:c>
      <x:c r="C39" s="9" t="n">
        <x:v>1750</x:v>
      </x:c>
      <x:c r="D39" s="9" t="n">
        <x:v>1750</x:v>
      </x:c>
      <x:c r="E39" s="1" t="str">
        <x:v>CALCULADO</x:v>
      </x:c>
      <x:c r="F39" s="1" t="str">
        <x:v>CALCULADO</x:v>
      </x:c>
      <x:c r="G39" s="1" t="str">
        <x:f>IF(AND(E39=F39,IF(ISNUMBER(C39),IF(ISNUMBER(D39),ABS(C39-D39)&lt;0.005,FALSE),C39=D39)),"Coincide","REVISAR")</x:f>
        <x:v>Coincide</x:v>
      </x:c>
      <x:c r="H39" s="1"/>
      <x:c r="I39" s="1"/>
      <x:c r="J39" s="1"/>
    </x:row>
    <x:row r="40" ht="23" customHeight="1">
      <x:c r="A40" s="1" t="str">
        <x:v>C34</x:v>
      </x:c>
      <x:c r="B40" s="1" t="str">
        <x:v>Principal variable: base fija vacía ignorada</x:v>
      </x:c>
      <x:c r="C40" s="9" t="n">
        <x:v>2333.33</x:v>
      </x:c>
      <x:c r="D40" s="9" t="n">
        <x:v>2333.33</x:v>
      </x:c>
      <x:c r="E40" s="1" t="str">
        <x:v>CALCULADO</x:v>
      </x:c>
      <x:c r="F40" s="1" t="str">
        <x:v>CALCULADO</x:v>
      </x:c>
      <x:c r="G40" s="1" t="str">
        <x:f>IF(AND(E40=F40,IF(ISNUMBER(C40),IF(ISNUMBER(D40),ABS(C40-D40)&lt;0.005,FALSE),C40=D40)),"Coincide","REVISAR")</x:f>
        <x:v>Coincide</x:v>
      </x:c>
      <x:c r="H40" s="1"/>
      <x:c r="I40" s="1"/>
      <x:c r="J40" s="1"/>
    </x:row>
    <x:row r="41" ht="23" customHeight="1">
      <x:c r="A41" s="1" t="str">
        <x:v>C35</x:v>
      </x:c>
      <x:c r="B41" s="1" t="str">
        <x:v>Falta monto de un mes complementario</x:v>
      </x:c>
      <x:c r="C41" s="9" t="str">
        <x:v>No determinado</x:v>
      </x:c>
      <x:c r="D41" s="9" t="str">
        <x:v>No determinado</x:v>
      </x:c>
      <x:c r="E41" s="1" t="str">
        <x:v>DATOS INVÁLIDOS</x:v>
      </x:c>
      <x:c r="F41" s="1" t="str">
        <x:v>DATOS INVÁLIDOS</x:v>
      </x:c>
      <x:c r="G41" s="1" t="str">
        <x:f>IF(AND(E41=F41,IF(ISNUMBER(C41),IF(ISNUMBER(D41),ABS(C41-D41)&lt;0.005,FALSE),C41=D41)),"Coincide","REVISAR")</x:f>
        <x:v>Coincide</x:v>
      </x:c>
      <x:c r="H41" s="1"/>
      <x:c r="I41" s="1"/>
      <x:c r="J41" s="1"/>
    </x:row>
    <x:row r="42" ht="23" customHeight="1">
      <x:c r="A42" s="1" t="str">
        <x:v>C36</x:v>
      </x:c>
      <x:c r="B42" s="1" t="str">
        <x:v>Cero días netos con mes de vínculo</x:v>
      </x:c>
      <x:c r="C42" s="9" t="n">
        <x:v>0</x:v>
      </x:c>
      <x:c r="D42" s="9" t="n">
        <x:v>0</x:v>
      </x:c>
      <x:c r="E42" s="1" t="str">
        <x:v>CALCULADO</x:v>
      </x:c>
      <x:c r="F42" s="1" t="str">
        <x:v>CALCULADO</x:v>
      </x:c>
      <x:c r="G42" s="1" t="str">
        <x:f>IF(AND(E42=F42,IF(ISNUMBER(C42),IF(ISNUMBER(D42),ABS(C42-D42)&lt;0.005,FALSE),C42=D42)),"Coincide","REVISAR")</x:f>
        <x:v>Coincide</x:v>
      </x:c>
      <x:c r="H42" s="1"/>
      <x:c r="I42" s="1"/>
      <x:c r="J42" s="1"/>
    </x:row>
    <x:row r="43" ht="23" customHeight="1">
      <x:c r="A43" s="1" t="str">
        <x:v>C37</x:v>
      </x:c>
      <x:c r="B43" s="1" t="str">
        <x:v>Tope MYPE inválido</x:v>
      </x:c>
      <x:c r="C43" s="9" t="str">
        <x:v>No determinado</x:v>
      </x:c>
      <x:c r="D43" s="9" t="str">
        <x:v>No determinado</x:v>
      </x:c>
      <x:c r="E43" s="1" t="str">
        <x:v>DATOS INVÁLIDOS</x:v>
      </x:c>
      <x:c r="F43" s="1" t="str">
        <x:v>DATOS INVÁLIDOS</x:v>
      </x:c>
      <x:c r="G43" s="1" t="str">
        <x:f>IF(AND(E43=F43,IF(ISNUMBER(C43),IF(ISNUMBER(D43),ABS(C43-D43)&lt;0.005,FALSE),C43=D43)),"Coincide","REVISAR")</x:f>
        <x:v>Coincide</x:v>
      </x:c>
      <x:c r="H43" s="1"/>
      <x:c r="I43" s="1"/>
      <x:c r="J43" s="1"/>
    </x:row>
    <x:row r="44" ht="23" customHeight="1">
      <x:c r="A44" s="1" t="str">
        <x:v>C38</x:v>
      </x:c>
      <x:c r="B44" s="1" t="str">
        <x:v>Datos de régimen no calculado no dan cero</x:v>
      </x:c>
      <x:c r="C44" s="9" t="str">
        <x:v>No determinado</x:v>
      </x:c>
      <x:c r="D44" s="9" t="str">
        <x:v>No determinado</x:v>
      </x:c>
      <x:c r="E44" s="1" t="str">
        <x:v>REVISAR</x:v>
      </x:c>
      <x:c r="F44" s="1" t="str">
        <x:v>REVISAR</x:v>
      </x:c>
      <x:c r="G44" s="1" t="str">
        <x:f>IF(AND(E44=F44,IF(ISNUMBER(C44),IF(ISNUMBER(D44),ABS(C44-D44)&lt;0.005,FALSE),C44=D44)),"Coincide","REVISAR")</x:f>
        <x:v>Coincide</x:v>
      </x:c>
      <x:c r="H44" s="1"/>
      <x:c r="I44" s="1"/>
      <x:c r="J44" s="1"/>
    </x:row>
    <x:row r="45" ht="23" customHeight="1">
      <x:c r="A45" s="1" t="str">
        <x:v>C39</x:v>
      </x:c>
      <x:c r="B45" s="1" t="str">
        <x:v>Cambio sueldo a 4000, misma grati 3000</x:v>
      </x:c>
      <x:c r="C45" s="9" t="n">
        <x:v>2250</x:v>
      </x:c>
      <x:c r="D45" s="9" t="n">
        <x:v>2250</x:v>
      </x:c>
      <x:c r="E45" s="1" t="str">
        <x:v>CALCULADO</x:v>
      </x:c>
      <x:c r="F45" s="1" t="str">
        <x:v>CALCULADO</x:v>
      </x:c>
      <x:c r="G45" s="1" t="str">
        <x:f>IF(AND(E45=F45,IF(ISNUMBER(C45),IF(ISNUMBER(D45),ABS(C45-D45)&lt;0.005,FALSE),C45=D45)),"Coincide","REVISAR")</x:f>
        <x:v>Coincide</x:v>
      </x:c>
      <x:c r="H45" s="1"/>
      <x:c r="I45" s="1"/>
      <x:c r="J45" s="1"/>
    </x:row>
    <x:row r="46" ht="23" customHeight="1">
      <x:c r="A46" s="1" t="str">
        <x:v>C40</x:v>
      </x:c>
      <x:c r="B46" s="1" t="str">
        <x:v>Agrario selecciona dato faltante</x:v>
      </x:c>
      <x:c r="C46" s="9" t="str">
        <x:v>No determinado</x:v>
      </x:c>
      <x:c r="D46" s="9" t="str">
        <x:v>No determinado</x:v>
      </x:c>
      <x:c r="E46" s="1" t="str">
        <x:v>DATOS INVÁLIDOS</x:v>
      </x:c>
      <x:c r="F46" s="1" t="str">
        <x:v>DATOS INVÁLIDOS</x:v>
      </x:c>
      <x:c r="G46" s="1" t="str">
        <x:f>IF(AND(E46=F46,IF(ISNUMBER(C46),IF(ISNUMBER(D46),ABS(C46-D46)&lt;0.005,FALSE),C46=D46)),"Coincide","REVISAR")</x:f>
        <x:v>Coincide</x:v>
      </x:c>
      <x:c r="H46" s="1"/>
      <x:c r="I46" s="1"/>
      <x:c r="J46" s="1"/>
    </x:row>
    <x:row r="47" ht="23" customHeight="1">
      <x:c r="A47" s="1" t="str">
        <x:v>C41</x:v>
      </x:c>
      <x:c r="B47" s="1" t="str">
        <x:v>Texto pegado en meses se rechaza</x:v>
      </x:c>
      <x:c r="C47" s="9" t="str">
        <x:v>No determinado</x:v>
      </x:c>
      <x:c r="D47" s="9" t="str">
        <x:v>No determinado</x:v>
      </x:c>
      <x:c r="E47" s="1" t="str">
        <x:v>DATOS INVÁLIDOS</x:v>
      </x:c>
      <x:c r="F47" s="1" t="str">
        <x:v>DATOS INVÁLIDOS</x:v>
      </x:c>
      <x:c r="G47" s="1" t="str">
        <x:f>IF(AND(E47=F47,IF(ISNUMBER(C47),IF(ISNUMBER(D47),ABS(C47-D47)&lt;0.005,FALSE),C47=D47)),"Coincide","REVISAR")</x:f>
        <x:v>Coincide</x:v>
      </x:c>
      <x:c r="H47" s="1"/>
      <x:c r="I47" s="1"/>
      <x:c r="J47" s="1"/>
    </x:row>
    <x:row r="48" ht="23" customHeight="1">
      <x:c r="A48" s="1" t="str">
        <x:v>C42</x:v>
      </x:c>
      <x:c r="B48" s="1" t="str">
        <x:v>Divisor no seleccionado con texto no bloquea</x:v>
      </x:c>
      <x:c r="C48" s="9" t="n">
        <x:v>1750</x:v>
      </x:c>
      <x:c r="D48" s="9" t="n">
        <x:v>1750</x:v>
      </x:c>
      <x:c r="E48" s="1" t="str">
        <x:v>CALCULADO</x:v>
      </x:c>
      <x:c r="F48" s="1" t="str">
        <x:v>CALCULADO</x:v>
      </x:c>
      <x:c r="G48" s="1" t="str">
        <x:f>IF(AND(E48=F48,IF(ISNUMBER(C48),IF(ISNUMBER(D48),ABS(C48-D48)&lt;0.005,FALSE),C48=D48)),"Coincide","REVISAR")</x:f>
        <x:v>Coincide</x:v>
      </x:c>
      <x:c r="H48" s="1"/>
      <x:c r="I48" s="1"/>
      <x:c r="J48" s="1"/>
    </x:row>
    <x:row r="49" ht="23" customHeight="1">
      <x:c r="A49" s="1" t="str">
        <x:v>C43</x:v>
      </x:c>
      <x:c r="B49" s="1" t="str">
        <x:v>Agrario con campos generales vacíos</x:v>
      </x:c>
      <x:c r="C49" s="9" t="n">
        <x:v>119.56</x:v>
      </x:c>
      <x:c r="D49" s="9" t="n">
        <x:v>119.56</x:v>
      </x:c>
      <x:c r="E49" s="1" t="str">
        <x:v>COMPONENTE</x:v>
      </x:c>
      <x:c r="F49" s="1" t="str">
        <x:v>COMPONENTE</x:v>
      </x:c>
      <x:c r="G49" s="1" t="str">
        <x:f>IF(AND(E49=F49,IF(ISNUMBER(C49),IF(ISNUMBER(D49),ABS(C49-D49)&lt;0.005,FALSE),C49=D49)),"Coincide","REVISAR")</x:f>
        <x:v>Coincide</x:v>
      </x:c>
      <x:c r="H49" s="1"/>
      <x:c r="I49" s="1"/>
      <x:c r="J49" s="1"/>
    </x:row>
    <x:row r="50" ht="23" customHeight="1">
      <x:c r="A50" s="1" t="str">
        <x:v>C44</x:v>
      </x:c>
      <x:c r="B50" s="1" t="str">
        <x:v>Texto en complemento se rechaza</x:v>
      </x:c>
      <x:c r="C50" s="9" t="str">
        <x:v>No determinado</x:v>
      </x:c>
      <x:c r="D50" s="9" t="str">
        <x:v>No determinado</x:v>
      </x:c>
      <x:c r="E50" s="1" t="str">
        <x:v>DATOS INVÁLIDOS</x:v>
      </x:c>
      <x:c r="F50" s="1" t="str">
        <x:v>DATOS INVÁLIDOS</x:v>
      </x:c>
      <x:c r="G50" s="1" t="str">
        <x:f>IF(AND(E50=F50,IF(ISNUMBER(C50),IF(ISNUMBER(D50),ABS(C50-D50)&lt;0.005,FALSE),C50=D50)),"Coincide","REVISAR")</x:f>
        <x:v>Coincide</x:v>
      </x:c>
      <x:c r="H50" s="1"/>
      <x:c r="I50" s="1"/>
      <x:c r="J50" s="1"/>
    </x:row>
    <x:row r="51" ht="23" customHeight="1">
      <x:c r="A51" s="1" t="str">
        <x:v>C45</x:v>
      </x:c>
      <x:c r="B51" s="1" t="str">
        <x:v>Régimen desconocido no calcula</x:v>
      </x:c>
      <x:c r="C51" s="9" t="str">
        <x:v>No determinado</x:v>
      </x:c>
      <x:c r="D51" s="9" t="str">
        <x:v>No determinado</x:v>
      </x:c>
      <x:c r="E51" s="1" t="str">
        <x:v>REVISAR</x:v>
      </x:c>
      <x:c r="F51" s="1" t="str">
        <x:v>REVISAR</x:v>
      </x:c>
      <x:c r="G51" s="1" t="str">
        <x:f>IF(AND(E51=F51,IF(ISNUMBER(C51),IF(ISNUMBER(D51),ABS(C51-D51)&lt;0.005,FALSE),C51=D51)),"Coincide","REVISAR")</x:f>
        <x:v>Coincide</x:v>
      </x:c>
      <x:c r="H51" s="1"/>
      <x:c r="I51" s="1"/>
      <x:c r="J51" s="1"/>
    </x:row>
    <x:row r="52" ht="23" customHeight="1">
      <x:c r="A52" s="1" t="str">
        <x:v>C46</x:v>
      </x:c>
      <x:c r="B52" s="1" t="str">
        <x:v>Confirmación vacía no calcula</x:v>
      </x:c>
      <x:c r="C52" s="9" t="str">
        <x:v>No determinado</x:v>
      </x:c>
      <x:c r="D52" s="9" t="str">
        <x:v>No determinado</x:v>
      </x:c>
      <x:c r="E52" s="1" t="str">
        <x:v>REVISAR</x:v>
      </x:c>
      <x:c r="F52" s="1" t="str">
        <x:v>REVISAR</x:v>
      </x:c>
      <x:c r="G52" s="1" t="str">
        <x:f>IF(AND(E52=F52,IF(ISNUMBER(C52),IF(ISNUMBER(D52),ABS(C52-D52)&lt;0.005,FALSE),C52=D52)),"Coincide","REVISAR")</x:f>
        <x:v>Coincide</x:v>
      </x:c>
      <x:c r="H52" s="1"/>
      <x:c r="I52" s="1"/>
      <x:c r="J52" s="1"/>
    </x:row>
    <x:row r="53" ht="23" customHeight="1">
      <x:c r="A53" s="1" t="str">
        <x:v>C47</x:v>
      </x:c>
      <x:c r="B53" s="1" t="str">
        <x:v>Tope pequeña vacío no equivale a cero</x:v>
      </x:c>
      <x:c r="C53" s="9" t="str">
        <x:v>No determinado</x:v>
      </x:c>
      <x:c r="D53" s="9" t="str">
        <x:v>No determinado</x:v>
      </x:c>
      <x:c r="E53" s="1" t="str">
        <x:v>DATOS INVÁLIDOS</x:v>
      </x:c>
      <x:c r="F53" s="1" t="str">
        <x:v>DATOS INVÁLIDOS</x:v>
      </x:c>
      <x:c r="G53" s="1" t="str">
        <x:f>IF(AND(E53=F53,IF(ISNUMBER(C53),IF(ISNUMBER(D53),ABS(C53-D53)&lt;0.005,FALSE),C53=D53)),"Coincide","REVISAR")</x:f>
        <x:v>Coincide</x:v>
      </x:c>
      <x:c r="H53" s="1"/>
      <x:c r="I53" s="1"/>
      <x:c r="J53" s="1"/>
    </x:row>
    <x:row r="54" ht="23" customHeight="1">
      <x:c r="A54" s="1" t="str">
        <x:v>C48</x:v>
      </x:c>
      <x:c r="B54" s="1" t="str">
        <x:v>Divisor variable cero se rechaza</x:v>
      </x:c>
      <x:c r="C54" s="9" t="str">
        <x:v>No determinado</x:v>
      </x:c>
      <x:c r="D54" s="9" t="str">
        <x:v>No determinado</x:v>
      </x:c>
      <x:c r="E54" s="1" t="str">
        <x:v>DATOS INVÁLIDOS</x:v>
      </x:c>
      <x:c r="F54" s="1" t="str">
        <x:v>DATOS INVÁLIDOS</x:v>
      </x:c>
      <x:c r="G54" s="1" t="str">
        <x:f>IF(AND(E54=F54,IF(ISNUMBER(C54),IF(ISNUMBER(D54),ABS(C54-D54)&lt;0.005,FALSE),C54=D54)),"Coincide","REVISAR")</x:f>
        <x:v>Coincide</x:v>
      </x:c>
      <x:c r="H54" s="1"/>
      <x:c r="I54" s="1"/>
      <x:c r="J54" s="1"/>
    </x:row>
    <x:row r="55" ht="23" customHeight="1">
      <x:c r="A55" s="1" t="str">
        <x:v>A01</x:v>
      </x:c>
      <x:c r="B55" s="1" t="str">
        <x:v>Fechas: semestre completo</x:v>
      </x:c>
      <x:c r="C55" s="9" t="n">
        <x:v>1750</x:v>
      </x:c>
      <x:c r="D55" s="9" t="n">
        <x:v>1750</x:v>
      </x:c>
      <x:c r="E55" s="1" t="str">
        <x:v>CALCULADO</x:v>
      </x:c>
      <x:c r="F55" s="1" t="str">
        <x:v>CALCULADO</x:v>
      </x:c>
      <x:c r="G55" s="1" t="str">
        <x:f>IF(AND(E55=F55,IF(ISNUMBER(C55),IF(ISNUMBER(D55),ABS(C55-D55)&lt;0.005,FALSE),C55=D55)),"Coincide","REVISAR")</x:f>
        <x:v>Coincide</x:v>
      </x:c>
      <x:c r="H55" s="1"/>
      <x:c r="I55" s="1"/>
      <x:c r="J55" s="1"/>
    </x:row>
    <x:row r="56" ht="23" customHeight="1">
      <x:c r="A56" s="1" t="str">
        <x:v>A02</x:v>
      </x:c>
      <x:c r="B56" s="1" t="str">
        <x:v>Fechas: ingreso 16 julio</x:v>
      </x:c>
      <x:c r="C56" s="9" t="n">
        <x:v>1020.83</x:v>
      </x:c>
      <x:c r="D56" s="9" t="n">
        <x:v>1020.83</x:v>
      </x:c>
      <x:c r="E56" s="1" t="str">
        <x:v>CALCULADO</x:v>
      </x:c>
      <x:c r="F56" s="1" t="str">
        <x:v>CALCULADO</x:v>
      </x:c>
      <x:c r="G56" s="1" t="str">
        <x:f>IF(AND(E56=F56,IF(ISNUMBER(C56),IF(ISNUMBER(D56),ABS(C56-D56)&lt;0.005,FALSE),C56=D56)),"Coincide","REVISAR")</x:f>
        <x:v>Coincide</x:v>
      </x:c>
      <x:c r="H56" s="1"/>
      <x:c r="I56" s="1"/>
      <x:c r="J56" s="1"/>
    </x:row>
    <x:row r="57" ht="23" customHeight="1">
      <x:c r="A57" s="1" t="str">
        <x:v>A03</x:v>
      </x:c>
      <x:c r="B57" s="1" t="str">
        <x:v>Fechas: cese 15 agosto</x:v>
      </x:c>
      <x:c r="C57" s="9" t="n">
        <x:v>1020.83</x:v>
      </x:c>
      <x:c r="D57" s="9" t="n">
        <x:v>1020.83</x:v>
      </x:c>
      <x:c r="E57" s="1" t="str">
        <x:v>CALCULADO</x:v>
      </x:c>
      <x:c r="F57" s="1" t="str">
        <x:v>CALCULADO</x:v>
      </x:c>
      <x:c r="G57" s="1" t="str">
        <x:f>IF(AND(E57=F57,IF(ISNUMBER(C57),IF(ISNUMBER(D57),ABS(C57-D57)&lt;0.005,FALSE),C57=D57)),"Coincide","REVISAR")</x:f>
        <x:v>Coincide</x:v>
      </x:c>
      <x:c r="H57" s="1"/>
      <x:c r="I57" s="1"/>
      <x:c r="J57" s="1"/>
    </x:row>
    <x:row r="58" ht="23" customHeight="1">
      <x:c r="A58" s="1" t="str">
        <x:v>A04</x:v>
      </x:c>
      <x:c r="B58" s="1" t="str">
        <x:v>Fechas: febrero completo no pierde dos días</x:v>
      </x:c>
      <x:c r="C58" s="9" t="n">
        <x:v>1166.67</x:v>
      </x:c>
      <x:c r="D58" s="9" t="n">
        <x:v>1166.67</x:v>
      </x:c>
      <x:c r="E58" s="1" t="str">
        <x:v>CALCULADO</x:v>
      </x:c>
      <x:c r="F58" s="1" t="str">
        <x:v>CALCULADO</x:v>
      </x:c>
      <x:c r="G58" s="1" t="str">
        <x:f>IF(AND(E58=F58,IF(ISNUMBER(C58),IF(ISNUMBER(D58),ABS(C58-D58)&lt;0.005,FALSE),C58=D58)),"Coincide","REVISAR")</x:f>
        <x:v>Coincide</x:v>
      </x:c>
      <x:c r="H58" s="1"/>
      <x:c r="I58" s="1"/>
      <x:c r="J58" s="1"/>
    </x:row>
    <x:row r="59" ht="23" customHeight="1">
      <x:c r="A59" s="1" t="str">
        <x:v>A05</x:v>
      </x:c>
      <x:c r="B59" s="1" t="str">
        <x:v>Fecha ingreso posterior al corte</x:v>
      </x:c>
      <x:c r="C59" s="9" t="str">
        <x:v>No determinado</x:v>
      </x:c>
      <x:c r="D59" s="9" t="str">
        <x:v>No determinado</x:v>
      </x:c>
      <x:c r="E59" s="1" t="str">
        <x:v>DATOS INVÁLIDOS</x:v>
      </x:c>
      <x:c r="F59" s="1" t="str">
        <x:v>DATOS INVÁLIDOS</x:v>
      </x:c>
      <x:c r="G59" s="1" t="str">
        <x:f>IF(AND(E59=F59,IF(ISNUMBER(C59),IF(ISNUMBER(D59),ABS(C59-D59)&lt;0.005,FALSE),C59=D59)),"Coincide","REVISAR")</x:f>
        <x:v>Coincide</x:v>
      </x:c>
      <x:c r="H59" s="1"/>
      <x:c r="I59" s="1"/>
      <x:c r="J59" s="1"/>
    </x:row>
    <x:row r="60" ht="23" customHeight="1">
      <x:c r="A60" s="1" t="str">
        <x:v>A06</x:v>
      </x:c>
      <x:c r="B60" s="1" t="str">
        <x:v>Fecha como texto se rechaza</x:v>
      </x:c>
      <x:c r="C60" s="9" t="str">
        <x:v>No determinado</x:v>
      </x:c>
      <x:c r="D60" s="9" t="str">
        <x:v>No determinado</x:v>
      </x:c>
      <x:c r="E60" s="1" t="str">
        <x:v>DATOS INVÁLIDOS</x:v>
      </x:c>
      <x:c r="F60" s="1" t="str">
        <x:v>DATOS INVÁLIDOS</x:v>
      </x:c>
      <x:c r="G60" s="1" t="str">
        <x:f>IF(AND(E60=F60,IF(ISNUMBER(C60),IF(ISNUMBER(D60),ABS(C60-D60)&lt;0.005,FALSE),C60=D60)),"Coincide","REVISAR")</x:f>
        <x:v>Coincide</x:v>
      </x:c>
      <x:c r="H60" s="1"/>
      <x:c r="I60" s="1"/>
      <x:c r="J60" s="1"/>
    </x:row>
    <x:row r="61">
      <x:c r="A61" t="str">
        <x:v>A07</x:v>
      </x:c>
      <x:c r="B61" t="str">
        <x:v>Inicio día 31 requiere revisión</x:v>
      </x:c>
      <x:c r="C61" s="16" t="str">
        <x:v>No determinado</x:v>
      </x:c>
      <x:c r="D61" s="16" t="str">
        <x:v>No determinado</x:v>
      </x:c>
      <x:c r="E61" t="str">
        <x:v>REVISAR FECHAS</x:v>
      </x:c>
      <x:c r="F61" t="str">
        <x:v>REVISAR FECHAS</x:v>
      </x:c>
      <x:c r="G61" s="1" t="str">
        <x:f>IF(AND(E61=F61,IF(ISNUMBER(C61),IF(ISNUMBER(D61),ABS(C61-D61)&lt;0.005,FALSE),C61=D61)),"Coincide","REVISAR")</x:f>
        <x:v>Coincide</x:v>
      </x:c>
    </x:row>
    <x:row r="62">
      <x:c r="A62" t="str">
        <x:v>A08</x:v>
      </x:c>
      <x:c r="B62" t="str">
        <x:v>Febrero parcial requiere revisión</x:v>
      </x:c>
      <x:c r="C62" s="16" t="str">
        <x:v>No determinado</x:v>
      </x:c>
      <x:c r="D62" s="16" t="str">
        <x:v>No determinado</x:v>
      </x:c>
      <x:c r="E62" t="str">
        <x:v>REVISAR FECHAS</x:v>
      </x:c>
      <x:c r="F62" t="str">
        <x:v>REVISAR FECHAS</x:v>
      </x:c>
      <x:c r="G62" s="1" t="str">
        <x:f>IF(AND(E62=F62,IF(ISNUMBER(C62),IF(ISNUMBER(D62),ABS(C62-D62)&lt;0.005,FALSE),C62=D62)),"Coincide","REVISAR")</x:f>
        <x:v>Coincide</x:v>
      </x:c>
    </x:row>
    <x:row r="63">
      <x:c r="A63" t="str">
        <x:v>A09</x:v>
      </x:c>
      <x:c r="B63" t="str">
        <x:v>Ingreso octubre sin mes mínimo</x:v>
      </x:c>
      <x:c r="C63" s="16" t="str">
        <x:v>No determinado</x:v>
      </x:c>
      <x:c r="D63" s="16" t="str">
        <x:v>No determinado</x:v>
      </x:c>
      <x:c r="E63" t="str">
        <x:v>ACUMULAR</x:v>
      </x:c>
      <x:c r="F63" t="str">
        <x:v>ACUMULAR</x:v>
      </x:c>
      <x:c r="G63" s="1" t="str">
        <x:f>IF(AND(E63=F63,IF(ISNUMBER(C63),IF(ISNUMBER(D63),ABS(C63-D63)&lt;0.005,FALSE),C63=D63)),"Coincide","REVISAR")</x:f>
        <x:v>Coincide</x:v>
      </x:c>
    </x:row>
    <x:row r="64">
      <x:c r="A64" t="str">
        <x:v>A10</x:v>
      </x:c>
      <x:c r="B64" t="str">
        <x:v>Histórica completa confirmada</x:v>
      </x:c>
      <x:c r="C64" s="16" t="n">
        <x:v>1750</x:v>
      </x:c>
      <x:c r="D64" s="16" t="n">
        <x:v>1750</x:v>
      </x:c>
      <x:c r="E64" t="str">
        <x:v>CALCULADO</x:v>
      </x:c>
      <x:c r="F64" t="str">
        <x:v>CALCULADO</x:v>
      </x:c>
      <x:c r="G64" s="1" t="str">
        <x:f>IF(AND(E64=F64,IF(ISNUMBER(C64),IF(ISNUMBER(D64),ABS(C64-D64)&lt;0.005,FALSE),C64=D64)),"Coincide","REVISAR")</x:f>
        <x:v>Coincide</x:v>
      </x:c>
    </x:row>
    <x:row r="65">
      <x:c r="A65" t="str">
        <x:v>A11</x:v>
      </x:c>
      <x:c r="B65" t="str">
        <x:v>Histórica por tres meses completos</x:v>
      </x:c>
      <x:c r="C65" s="16" t="n">
        <x:v>1625</x:v>
      </x:c>
      <x:c r="D65" s="16" t="n">
        <x:v>1625</x:v>
      </x:c>
      <x:c r="E65" t="str">
        <x:v>CALCULADO</x:v>
      </x:c>
      <x:c r="F65" t="str">
        <x:v>CALCULADO</x:v>
      </x:c>
      <x:c r="G65" s="1" t="str">
        <x:f>IF(AND(E65=F65,IF(ISNUMBER(C65),IF(ISNUMBER(D65),ABS(C65-D65)&lt;0.005,FALSE),C65=D65)),"Coincide","REVISAR")</x:f>
        <x:v>Coincide</x:v>
      </x:c>
    </x:row>
    <x:row r="66">
      <x:c r="A66" t="str">
        <x:v>A12</x:v>
      </x:c>
      <x:c r="B66" t="str">
        <x:v>Histórica con seis días no computables</x:v>
      </x:c>
      <x:c r="C66" s="16" t="n">
        <x:v>1741.67</x:v>
      </x:c>
      <x:c r="D66" s="16" t="n">
        <x:v>1741.67</x:v>
      </x:c>
      <x:c r="E66" t="str">
        <x:v>CALCULADO</x:v>
      </x:c>
      <x:c r="F66" t="str">
        <x:v>CALCULADO</x:v>
      </x:c>
      <x:c r="G66" s="1" t="str">
        <x:f>IF(AND(E66=F66,IF(ISNUMBER(C66),IF(ISNUMBER(D66),ABS(C66-D66)&lt;0.005,FALSE),C66=D66)),"Coincide","REVISAR")</x:f>
        <x:v>Coincide</x:v>
      </x:c>
    </x:row>
    <x:row r="67">
      <x:c r="A67" t="str">
        <x:v>A13</x:v>
      </x:c>
      <x:c r="B67" t="str">
        <x:v>Histórica pequeña media gratificación</x:v>
      </x:c>
      <x:c r="C67" s="16" t="n">
        <x:v>812.5</x:v>
      </x:c>
      <x:c r="D67" s="16" t="n">
        <x:v>812.5</x:v>
      </x:c>
      <x:c r="E67" t="str">
        <x:v>CALCULADO</x:v>
      </x:c>
      <x:c r="F67" t="str">
        <x:v>CALCULADO</x:v>
      </x:c>
      <x:c r="G67" s="1" t="str">
        <x:f>IF(AND(E67=F67,IF(ISNUMBER(C67),IF(ISNUMBER(D67),ABS(C67-D67)&lt;0.005,FALSE),C67=D67)),"Coincide","REVISAR")</x:f>
        <x:v>Coincide</x:v>
      </x:c>
    </x:row>
    <x:row r="68">
      <x:c r="A68" t="str">
        <x:v>A14</x:v>
      </x:c>
      <x:c r="B68" t="str">
        <x:v>Histórica sin confirmar boleta</x:v>
      </x:c>
      <x:c r="C68" s="16" t="str">
        <x:v>No determinado</x:v>
      </x:c>
      <x:c r="D68" s="16" t="str">
        <x:v>No determinado</x:v>
      </x:c>
      <x:c r="E68" t="str">
        <x:v>CONFIRMAR PERCIBIDO</x:v>
      </x:c>
      <x:c r="F68" t="str">
        <x:v>CONFIRMAR PERCIBIDO</x:v>
      </x:c>
      <x:c r="G68" s="1" t="str">
        <x:f>IF(AND(E68=F68,IF(ISNUMBER(C68),IF(ISNUMBER(D68),ABS(C68-D68)&lt;0.005,FALSE),C68=D68)),"Coincide","REVISAR")</x:f>
        <x:v>Coincide</x:v>
      </x:c>
    </x:row>
    <x:row r="69">
      <x:c r="A69" t="str">
        <x:v>A15</x:v>
      </x:c>
      <x:c r="B69" t="str">
        <x:v>Histórica con meses decimales</x:v>
      </x:c>
      <x:c r="C69" s="16" t="str">
        <x:v>No determinado</x:v>
      </x:c>
      <x:c r="D69" s="16" t="str">
        <x:v>No determinado</x:v>
      </x:c>
      <x:c r="E69" t="str">
        <x:v>DATOS INVÁLIDOS</x:v>
      </x:c>
      <x:c r="F69" t="str">
        <x:v>DATOS INVÁLIDOS</x:v>
      </x:c>
      <x:c r="G69" s="1" t="str">
        <x:f>IF(AND(E69=F69,IF(ISNUMBER(C69),IF(ISNUMBER(D69),ABS(C69-D69)&lt;0.005,FALSE),C69=D69)),"Coincide","REVISAR")</x:f>
        <x:v>Coincide</x:v>
      </x:c>
    </x:row>
    <x:row r="70">
      <x:c r="A70" t="str">
        <x:v>A16</x:v>
      </x:c>
      <x:c r="B70" t="str">
        <x:v>Histórica sin base</x:v>
      </x:c>
      <x:c r="C70" s="16" t="str">
        <x:v>No determinado</x:v>
      </x:c>
      <x:c r="D70" s="16" t="str">
        <x:v>No determinado</x:v>
      </x:c>
      <x:c r="E70" t="str">
        <x:v>DATOS INVÁLIDOS</x:v>
      </x:c>
      <x:c r="F70" t="str">
        <x:v>DATOS INVÁLIDOS</x:v>
      </x:c>
      <x:c r="G70" s="1" t="str">
        <x:f>IF(AND(E70=F70,IF(ISNUMBER(C70),IF(ISNUMBER(D70),ABS(C70-D70)&lt;0.005,FALSE),C70=D70)),"Coincide","REVISAR")</x:f>
        <x:v>Coincide</x:v>
      </x:c>
    </x:row>
    <x:row r="71">
      <x:c r="A71" t="str">
        <x:v>A17</x:v>
      </x:c>
      <x:c r="B71" t="str">
        <x:v>Fechas y grati juntos</x:v>
      </x:c>
      <x:c r="C71" s="16" t="n">
        <x:v>875</x:v>
      </x:c>
      <x:c r="D71" s="16" t="n">
        <x:v>875</x:v>
      </x:c>
      <x:c r="E71" t="str">
        <x:v>CALCULADO</x:v>
      </x:c>
      <x:c r="F71" t="str">
        <x:v>CALCULADO</x:v>
      </x:c>
      <x:c r="G71" s="1" t="str">
        <x:f>IF(AND(E71=F71,IF(ISNUMBER(C71),IF(ISNUMBER(D71),ABS(C71-D71)&lt;0.005,FALSE),C71=D71)),"Coincide","REVISAR")</x:f>
        <x:v>Coincide</x:v>
      </x:c>
    </x:row>
    <x:row r="72">
      <x:c r="A72" t="str">
        <x:v>A18</x:v>
      </x:c>
      <x:c r="B72" t="str">
        <x:v>Modo inexistente se rechaza</x:v>
      </x:c>
      <x:c r="C72" s="16" t="str">
        <x:v>No determinado</x:v>
      </x:c>
      <x:c r="D72" s="16" t="str">
        <x:v>No determinado</x:v>
      </x:c>
      <x:c r="E72" t="str">
        <x:v>REVISAR</x:v>
      </x:c>
      <x:c r="F72" t="str">
        <x:v>REVISAR</x:v>
      </x:c>
      <x:c r="G72" s="1" t="str">
        <x:f>IF(AND(E72=F72,IF(ISNUMBER(C72),IF(ISNUMBER(D72),ABS(C72-D72)&lt;0.005,FALSE),C72=D72)),"Coincide","REVISAR")</x:f>
        <x:v>Coincide</x:v>
      </x:c>
    </x:row>
    <x:row r="73">
      <x:c r="A73" t="str">
        <x:v>A19</x:v>
      </x:c>
      <x:c r="B73" t="str">
        <x:v>Fechas ignora tiempo manual inválido</x:v>
      </x:c>
      <x:c r="C73" s="16" t="n">
        <x:v>1750</x:v>
      </x:c>
      <x:c r="D73" s="16" t="n">
        <x:v>1750</x:v>
      </x:c>
      <x:c r="E73" t="str">
        <x:v>CALCULADO</x:v>
      </x:c>
      <x:c r="F73" t="str">
        <x:v>CALCULADO</x:v>
      </x:c>
      <x:c r="G73" s="1" t="str">
        <x:f>IF(AND(E73=F73,IF(ISNUMBER(C73),IF(ISNUMBER(D73),ABS(C73-D73)&lt;0.005,FALSE),C73=D73)),"Coincide","REVISAR")</x:f>
        <x:v>Coincide</x:v>
      </x:c>
    </x:row>
    <x:row r="74">
      <x:c r="A74" t="str">
        <x:v>A20</x:v>
      </x:c>
      <x:c r="B74" t="str">
        <x:v>Histórica ignora grati manual vacía</x:v>
      </x:c>
      <x:c r="C74" s="16" t="n">
        <x:v>1750</x:v>
      </x:c>
      <x:c r="D74" s="16" t="n">
        <x:v>1750</x:v>
      </x:c>
      <x:c r="E74" t="str">
        <x:v>CALCULADO</x:v>
      </x:c>
      <x:c r="F74" t="str">
        <x:v>CALCULADO</x:v>
      </x:c>
      <x:c r="G74" s="1" t="str">
        <x:f>IF(AND(E74=F74,IF(ISNUMBER(C74),IF(ISNUMBER(D74),ABS(C74-D74)&lt;0.005,FALSE),C74=D74)),"Coincide","REVISAR")</x:f>
        <x:v>Coincide</x:v>
      </x:c>
    </x:row>
    <x:row r="75">
      <x:c r="A75" t="str">
        <x:v>A21</x:v>
      </x:c>
      <x:c r="B75" t="str">
        <x:v>Fecha serial negativa rechazada</x:v>
      </x:c>
      <x:c r="C75" s="16" t="str">
        <x:v>No determinado</x:v>
      </x:c>
      <x:c r="D75" s="16" t="str">
        <x:v>No determinado</x:v>
      </x:c>
      <x:c r="E75" t="str">
        <x:v>DATOS INVÁLIDOS</x:v>
      </x:c>
      <x:c r="F75" t="str">
        <x:v>DATOS INVÁLIDOS</x:v>
      </x:c>
      <x:c r="G75" s="1" t="str">
        <x:f>IF(AND(E75=F75,IF(ISNUMBER(C75),IF(ISNUMBER(D75),ABS(C75-D75)&lt;0.005,FALSE),C75=D75)),"Coincide","REVISAR")</x:f>
        <x:v>Coincide</x:v>
      </x:c>
    </x:row>
    <x:row r="76">
      <x:c r="A76" t="str">
        <x:v>A22</x:v>
      </x:c>
      <x:c r="B76" t="str">
        <x:v>Fecha serial enorme rechazada</x:v>
      </x:c>
      <x:c r="C76" s="16" t="str">
        <x:v>No determinado</x:v>
      </x:c>
      <x:c r="D76" s="16" t="str">
        <x:v>No determinado</x:v>
      </x:c>
      <x:c r="E76" t="str">
        <x:v>DATOS INVÁLIDOS</x:v>
      </x:c>
      <x:c r="F76" t="str">
        <x:v>DATOS INVÁLIDOS</x:v>
      </x:c>
      <x:c r="G76" s="1" t="str">
        <x:f>IF(AND(E76=F76,IF(ISNUMBER(C76),IF(ISNUMBER(D76),ABS(C76-D76)&lt;0.005,FALSE),C76=D76)),"Coincide","REVISAR")</x:f>
        <x:v>Coincide</x:v>
      </x:c>
    </x:row>
    <x:row r="77">
      <x:c r="A77" t="str">
        <x:v>A23</x:v>
      </x:c>
      <x:c r="B77" t="str">
        <x:v>Fecha con fracción de día rechazada</x:v>
      </x:c>
      <x:c r="C77" s="16" t="str">
        <x:v>No determinado</x:v>
      </x:c>
      <x:c r="D77" s="16" t="str">
        <x:v>No determinado</x:v>
      </x:c>
      <x:c r="E77" t="str">
        <x:v>DATOS INVÁLIDOS</x:v>
      </x:c>
      <x:c r="F77" t="str">
        <x:v>DATOS INVÁLIDOS</x:v>
      </x:c>
      <x:c r="G77" s="1" t="str">
        <x:f>IF(AND(E77=F77,IF(ISNUMBER(C77),IF(ISNUMBER(D77),ABS(C77-D77)&lt;0.005,FALSE),C77=D77)),"Coincide","REVISAR")</x:f>
        <x:v>Coincide</x:v>
      </x:c>
    </x:row>
    <x:row r="78">
      <x:c r="A78" t="str">
        <x:v>A24</x:v>
      </x:c>
      <x:c r="B78" t="str">
        <x:v>Febrero bisiesto completo</x:v>
      </x:c>
      <x:c r="C78" s="16" t="n">
        <x:v>1166.67</x:v>
      </x:c>
      <x:c r="D78" s="16" t="n">
        <x:v>1166.67</x:v>
      </x:c>
      <x:c r="E78" t="str">
        <x:v>CALCULADO</x:v>
      </x:c>
      <x:c r="F78" t="str">
        <x:v>CALCULADO</x:v>
      </x:c>
      <x:c r="G78" s="1" t="str">
        <x:f>IF(AND(E78=F78,IF(ISNUMBER(C78),IF(ISNUMBER(D78),ABS(C78-D78)&lt;0.005,FALSE),C78=D78)),"Coincide","REVISAR")</x:f>
        <x:v>Coincide</x:v>
      </x:c>
    </x:row>
    <x:row r="79">
      <x:c r="A79" t="str">
        <x:v>A25</x:v>
      </x:c>
      <x:c r="B79" t="str">
        <x:v>Histórica faltas exceden meses</x:v>
      </x:c>
      <x:c r="C79" s="16" t="str">
        <x:v>No determinado</x:v>
      </x:c>
      <x:c r="D79" s="16" t="str">
        <x:v>No determinado</x:v>
      </x:c>
      <x:c r="E79" t="str">
        <x:v>DATOS INVÁLIDOS</x:v>
      </x:c>
      <x:c r="F79" t="str">
        <x:v>DATOS INVÁLIDOS</x:v>
      </x:c>
      <x:c r="G79" s="1" t="str">
        <x:f>IF(AND(E79=F79,IF(ISNUMBER(C79),IF(ISNUMBER(D79),ABS(C79-D79)&lt;0.005,FALSE),C79=D79)),"Coincide","REVISAR")</x:f>
        <x:v>Coincide</x:v>
      </x:c>
    </x:row>
  </x:sheetData>
  <x:conditionalFormatting sqref="G7:G79">
    <x:cfRule type="containsText" dxfId="2" priority="1" operator="containsText" text="REVISA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67" hidden="0" customWidth="1"/>
    <x:col min="3" max="3" width="84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Alcance y fuentes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44" customHeight="1">
      <x:c r="A4" s="19" t="str">
        <x:v>Modo</x:v>
      </x:c>
      <x:c r="B4" s="19" t="str">
        <x:v>Qué resuelve</x:v>
      </x:c>
      <x:c r="C4" s="19" t="str">
        <x:v>Qué exige / qué no resuelve</x:v>
      </x:c>
      <x:c r="D4" s="1"/>
      <x:c r="E4" s="1"/>
      <x:c r="F4" s="1"/>
      <x:c r="G4" s="1"/>
      <x:c r="H4" s="1"/>
      <x:c r="I4" s="1"/>
      <x:c r="J4" s="1"/>
    </x:row>
    <x:row r="5" ht="44" customHeight="1">
      <x:c r="A5" s="17" t="str">
        <x:v>General 728</x:v>
      </x:c>
      <x:c r="B5" s="17" t="str">
        <x:v>RC por meses/días, fijos, un complemento variable y principal variable</x:v>
      </x:c>
      <x:c r="C5" s="17" t="str">
        <x:v>Contrato, remuneración y tiempo validados; no clasifica automáticamente todo ingreso.</x:v>
      </x:c>
      <x:c r="D5" s="1"/>
      <x:c r="E5" s="1"/>
      <x:c r="F5" s="1"/>
      <x:c r="G5" s="1"/>
      <x:c r="H5" s="1"/>
      <x:c r="I5" s="1"/>
      <x:c r="J5" s="1"/>
    </x:row>
    <x:row r="6" ht="44" customHeight="1">
      <x:c r="A6" s="17" t="str">
        <x:v>Pequeña REMYPE</x:v>
      </x:c>
      <x:c r="B6" s="17" t="str">
        <x:v>Factor 0.5 y saldo del tope acumulado de 90 remuneraciones diarias</x:v>
      </x:c>
      <x:c r="C6" s="17" t="str">
        <x:v>Confirmar adscripción y derechos previos. Tope requiere revisión del historial salarial.</x:v>
      </x:c>
      <x:c r="D6" s="1"/>
      <x:c r="E6" s="1"/>
      <x:c r="F6" s="1"/>
      <x:c r="G6" s="1"/>
      <x:c r="H6" s="1"/>
      <x:c r="I6" s="1"/>
      <x:c r="J6" s="1"/>
    </x:row>
    <x:row r="7" ht="44" customHeight="1">
      <x:c r="A7" s="17" t="str">
        <x:v>Micro REMYPE</x:v>
      </x:c>
      <x:c r="B7" s="17" t="str">
        <x:v>Sin CTS solo si el régimen especial aplica al trabajador</x:v>
      </x:c>
      <x:c r="C7" s="17" t="str">
        <x:v>No usar para trabajadores con derechos conservados.</x:v>
      </x:c>
      <x:c r="D7" s="1"/>
      <x:c r="E7" s="1"/>
      <x:c r="F7" s="1"/>
      <x:c r="G7" s="1"/>
      <x:c r="H7" s="1"/>
      <x:c r="I7" s="1"/>
      <x:c r="J7" s="1"/>
    </x:row>
    <x:row r="8" ht="44" customHeight="1">
      <x:c r="A8" s="17" t="str">
        <x:v>Hogar</x:v>
      </x:c>
      <x:c r="B8" s="17" t="str">
        <x:v>Fórmula con remuneración y condiciones verificadas</x:v>
      </x:c>
      <x:c r="C8" s="17" t="str">
        <x:v>No automatiza historial anterior ni resuelve jornadas dudosas.</x:v>
      </x:c>
      <x:c r="D8" s="1"/>
      <x:c r="E8" s="1"/>
      <x:c r="F8" s="1"/>
      <x:c r="G8" s="1"/>
      <x:c r="H8" s="1"/>
      <x:c r="I8" s="1"/>
      <x:c r="J8" s="1"/>
    </x:row>
    <x:row r="9" ht="44" customHeight="1">
      <x:c r="A9" s="17" t="str">
        <x:v>Agrario prorrateado</x:v>
      </x:c>
      <x:c r="B9" s="17" t="str">
        <x:v>Componente: básica mensual × 9.72% / 30 × días pagables</x:v>
      </x:c>
      <x:c r="C9" s="17" t="str">
        <x:v>No es una segunda CTS semestral; revisar modalidad y ámbito.</x:v>
      </x:c>
      <x:c r="D9" s="1"/>
      <x:c r="E9" s="1"/>
      <x:c r="F9" s="1"/>
      <x:c r="G9" s="1"/>
      <x:c r="H9" s="1"/>
      <x:c r="I9" s="1"/>
      <x:c r="J9" s="1"/>
    </x:row>
    <x:row r="10" ht="44" customHeight="1">
      <x:c r="A10" s="17" t="str">
        <x:v>CAS / 276 / construcción / otros</x:v>
      </x:c>
      <x:c r="B10" s="17" t="str">
        <x:v>Muestra REVISAR y no determina importe</x:v>
      </x:c>
      <x:c r="C10" s="17" t="str">
        <x:v>No confundir con ausencia de derecho. Leer documentación normativa.</x:v>
      </x:c>
      <x:c r="D10" s="1"/>
      <x:c r="E10" s="1"/>
      <x:c r="F10" s="1"/>
      <x:c r="G10" s="1"/>
      <x:c r="H10" s="1"/>
      <x:c r="I10" s="1"/>
      <x:c r="J10" s="1"/>
    </x:row>
    <x:row r="11" ht="44" customHeight="1">
      <x:c r="A11" s="17" t="str">
        <x:v>Tiempo</x:v>
      </x:c>
      <x:c r="B11" s="17" t="str">
        <x:v>Manual o automático desde ingreso, inicio semestral y corte</x:v>
      </x:c>
      <x:c r="C11" s="17" t="str">
        <x:v>Ver hoja Fechas y gratificación; extremos especiales y arrastres requieren revisión.</x:v>
      </x:c>
      <x:c r="D11" s="1"/>
      <x:c r="E11" s="1"/>
      <x:c r="F11" s="1"/>
      <x:c r="G11" s="1"/>
      <x:c r="H11" s="1"/>
      <x:c r="I11" s="1"/>
      <x:c r="J11" s="1"/>
    </x:row>
    <x:row r="12" ht="44" customHeight="1">
      <x:c r="A12" s="17" t="str">
        <x:v>Variables</x:v>
      </x:c>
      <x:c r="B12" s="17" t="str">
        <x:v>Una clase de complemento; 3 meses con percepción</x:v>
      </x:c>
      <x:c r="C12" s="17" t="str">
        <x:v>Clasificar cada concepto por separado. Período parcial: divisor período/30.</x:v>
      </x:c>
      <x:c r="D12" s="1"/>
      <x:c r="E12" s="1"/>
      <x:c r="F12" s="1"/>
      <x:c r="G12" s="1"/>
      <x:c r="H12" s="1"/>
      <x:c r="I12" s="1"/>
      <x:c r="J12" s="1"/>
    </x:row>
    <x:row r="13" ht="44" customHeight="1">
      <x:c r="A13" s="17" t="str">
        <x:v>Gratificación</x:v>
      </x:c>
      <x:c r="B13" s="17" t="str">
        <x:v>Manual percibida o calculada con RC y meses históricos</x:v>
      </x:c>
      <x:c r="C13" s="17" t="str">
        <x:v>Confirmar coincidencia con boleta; no incluir bonificación extraordinaria.</x:v>
      </x:c>
      <x:c r="D13" s="1"/>
      <x:c r="E13" s="1"/>
      <x:c r="F13" s="1"/>
      <x:c r="G13" s="1"/>
      <x:c r="H13" s="1"/>
      <x:c r="I13" s="1"/>
      <x:c r="J13" s="1"/>
    </x:row>
    <x:row r="14" ht="44" customHeight="1">
      <x:c r="A14" s="17" t="str">
        <x:v>Intereses / mora</x:v>
      </x:c>
      <x:c r="B14" s="17" t="str">
        <x:v>Fuera del cálculo</x:v>
      </x:c>
      <x:c r="C14" s="17" t="str">
        <x:v>No aplica tasa bancaria inventada.</x:v>
      </x:c>
      <x:c r="D14" s="1"/>
      <x:c r="E14" s="1"/>
      <x:c r="F14" s="1"/>
      <x:c r="G14" s="1"/>
      <x:c r="H14" s="1"/>
      <x:c r="I14" s="1"/>
      <x:c r="J14" s="1"/>
    </x:row>
    <x:row r="15" ht="44" customHeight="1">
      <x:c r="A15" s="17" t="str">
        <x:v>Validación</x:v>
      </x:c>
      <x:c r="B15" s="17" t="str">
        <x:v>73 pruebas de entradas y recálculo con Artifact Tool</x:v>
      </x:c>
      <x:c r="C15" s="17" t="str">
        <x:v>Excel de escritorio y SwiftUI no ejecutados en este equipo.</x:v>
      </x:c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3" customHeight="1">
      <x:c r="A18" s="1" t="str">
        <x:v>Fuentes consultadas al 27/10/2026</x:v>
      </x:c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62" customHeight="1">
      <x:c r="A20" s="17" t="str">
        <x:v>TUO y Reglamento CTS</x:v>
      </x:c>
      <x:c r="B20" s="17" t="str">
        <x:v>DS 001-97-TR y DS 004-97-TR</x:v>
      </x:c>
      <x:c r="C20" s="17" t="str">
        <x:v>https://diariooficial.elperuano.pe/Normas/obtenerDocumento?idNorma=37</x:v>
      </x:c>
      <x:c r="D20" s="1"/>
      <x:c r="E20" s="1"/>
      <x:c r="F20" s="1"/>
      <x:c r="G20" s="1"/>
      <x:c r="H20" s="1"/>
      <x:c r="I20" s="1"/>
      <x:c r="J20" s="1"/>
    </x:row>
    <x:row r="21" ht="62" customHeight="1">
      <x:c r="A21" s="17" t="str">
        <x:v>Tiempo y jornada</x:v>
      </x:c>
      <x:c r="B21" s="17" t="str">
        <x:v>MTPE, 24/04/2026</x:v>
      </x:c>
      <x:c r="C21" s="17" t="str">
        <x:v>https://www.gob.pe/institucion/mtpe/noticias/1383535-mtpe-trabajadores-del-regimen-privado-que-laboren-4-horas-diarias-en-promedio-tienen-derecho-a-cts</x:v>
      </x:c>
      <x:c r="D21" s="1"/>
      <x:c r="E21" s="1"/>
      <x:c r="F21" s="1"/>
      <x:c r="G21" s="1"/>
      <x:c r="H21" s="1"/>
      <x:c r="I21" s="1"/>
      <x:c r="J21" s="1"/>
    </x:row>
    <x:row r="22" ht="62" customHeight="1">
      <x:c r="A22" s="17" t="str">
        <x:v>REMYPE</x:v>
      </x:c>
      <x:c r="B22" s="17" t="str">
        <x:v>Sunafil, 13/05/2026</x:v>
      </x:c>
      <x:c r="C22" s="17" t="str">
        <x:v>https://www.gob.pe/institucion/sunafil/noticias/1389500-pequenas-empresas-que-no-esten-inscritas-en-el-remype-tienen-que-pagar-cts-completa</x:v>
      </x:c>
      <x:c r="D22" s="1"/>
      <x:c r="E22" s="1"/>
      <x:c r="F22" s="1"/>
      <x:c r="G22" s="1"/>
      <x:c r="H22" s="1"/>
      <x:c r="I22" s="1"/>
      <x:c r="J22" s="1"/>
    </x:row>
    <x:row r="23" ht="62" customHeight="1">
      <x:c r="A23" s="17" t="str">
        <x:v>Trabajo del hogar</x:v>
      </x:c>
      <x:c r="B23" s="17" t="str">
        <x:v>Reglamento Ley 31047</x:v>
      </x:c>
      <x:c r="C23" s="17" t="str">
        <x:v>https://busquedas.elperuano.pe/dispositivo/NL/1944838-2</x:v>
      </x:c>
      <x:c r="D23" s="1"/>
      <x:c r="E23" s="1"/>
      <x:c r="F23" s="1"/>
      <x:c r="G23" s="1"/>
      <x:c r="H23" s="1"/>
      <x:c r="I23" s="1"/>
      <x:c r="J23" s="1"/>
    </x:row>
    <x:row r="24" ht="62" customHeight="1">
      <x:c r="A24" s="17" t="str">
        <x:v>Agrario</x:v>
      </x:c>
      <x:c r="B24" s="17" t="str">
        <x:v>MTPE, informe 053-2021, Ley 31110</x:v>
      </x:c>
      <x:c r="C24" s="17" t="str">
        <x:v>https://cdn.www.gob.pe/uploads/document/file/2190778/IF-053-2021.pdf</x:v>
      </x:c>
      <x:c r="D24" s="1"/>
      <x:c r="E24" s="1"/>
      <x:c r="F24" s="1"/>
      <x:c r="G24" s="1"/>
      <x:c r="H24" s="1"/>
      <x:c r="I24" s="1"/>
      <x:c r="J24" s="1"/>
    </x:row>
    <x:row r="25" ht="62" customHeight="1">
      <x:c r="A25" s="17" t="str">
        <x:v>CAS</x:v>
      </x:c>
      <x:c r="B25" s="17" t="str">
        <x:v>DS 142-2026-EF, arts. 9–11 y disposición transitoria</x:v>
      </x:c>
      <x:c r="C25" s="17" t="str">
        <x:v>https://busquedas.elperuano.pe/dispositivo/EX/2537225-1</x:v>
      </x:c>
      <x:c r="D25" s="1"/>
      <x:c r="E25" s="1"/>
      <x:c r="F25" s="1"/>
      <x:c r="G25" s="1"/>
      <x:c r="H25" s="1"/>
      <x:c r="I25" s="1"/>
      <x:c r="J25" s="1"/>
    </x:row>
    <x:row r="26" ht="62" customHeight="1">
      <x:c r="A26" s="17" t="str">
        <x:v>RMV octubre 2026</x:v>
      </x:c>
      <x:c r="B26" s="17" t="str">
        <x:v>El Peruano, 01/10/2026: S/ 1230</x:v>
      </x:c>
      <x:c r="C26" s="17" t="str">
        <x:v>https://elperuano.pe/noticia/305879-desde-hoy-rige-la-nueva-rmv-sueldo-minimo-sube-a-s-1230-y-cambia-otros-conceptos-laborales</x:v>
      </x:c>
      <x:c r="D26" s="1"/>
      <x:c r="E26" s="1"/>
      <x:c r="F26" s="1"/>
      <x:c r="G26" s="1"/>
      <x:c r="H26" s="1"/>
      <x:c r="I26" s="1"/>
      <x:c r="J26" s="1"/>
    </x:row>
    <x:row r="27" ht="62" customHeight="1">
      <x:c r="A27" s="17" t="str">
        <x:v>CTS trunca</x:v>
      </x:c>
      <x:c r="B27" s="17" t="str">
        <x:v>MTPE, fórmula por meses y días</x:v>
      </x:c>
      <x:c r="C27" s="17" t="str">
        <x:v>https://cdn.www.gob.pe/uploads/document/file/262968/CTS_-_Final.pdf</x:v>
      </x:c>
      <x:c r="D27" s="1"/>
      <x:c r="E27" s="1"/>
      <x:c r="F27" s="1"/>
      <x:c r="G27" s="1"/>
      <x:c r="H27" s="1"/>
      <x:c r="I27" s="1"/>
      <x:c r="J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Asistente de fechas y gratificación</x:v>
      </x:c>
      <x:c r="B2" s="1"/>
      <x:c r="C2" s="1"/>
      <x:c r="D2" s="1"/>
      <x:c r="E2" s="1"/>
      <x:c r="F2" s="1"/>
      <x:c r="G2" s="1"/>
    </x:row>
    <x:row r="3" ht="25" customHeight="1">
      <x:c r="A3" s="1"/>
      <x:c r="B3" s="1"/>
      <x:c r="C3" s="1"/>
      <x:c r="D3" s="1"/>
      <x:c r="E3" s="1"/>
      <x:c r="F3" s="1"/>
      <x:c r="G3" s="1"/>
    </x:row>
    <x:row r="4" ht="25" customHeight="1">
      <x:c r="A4" s="1"/>
      <x:c r="B4" s="1"/>
      <x:c r="C4" s="1"/>
      <x:c r="D4" s="1"/>
      <x:c r="E4" s="1"/>
      <x:c r="F4" s="1"/>
      <x:c r="G4" s="1"/>
    </x:row>
    <x:row r="5" ht="25" customHeight="1">
      <x:c r="A5" s="1" t="str">
        <x:v>Tiempo: Manual o Fechas</x:v>
      </x:c>
      <x:c r="B5" s="5" t="str">
        <x:v>Manual</x:v>
      </x:c>
      <x:c r="C5" s="1"/>
      <x:c r="D5" s="1"/>
      <x:c r="E5" s="1"/>
      <x:c r="F5" s="1"/>
      <x:c r="G5" s="1"/>
    </x:row>
    <x:row r="6" ht="25" customHeight="1">
      <x:c r="A6" s="1" t="str">
        <x:v>Fecha de ingreso</x:v>
      </x:c>
      <x:c r="B6" s="14" t="n">
        <x:v>46023</x:v>
      </x:c>
      <x:c r="C6" s="1"/>
      <x:c r="D6" s="1"/>
      <x:c r="E6" s="1"/>
      <x:c r="F6" s="1"/>
      <x:c r="G6" s="1"/>
    </x:row>
    <x:row r="7" ht="25" customHeight="1">
      <x:c r="A7" s="1" t="str">
        <x:v>Inicio del semestre CTS: 01/05 o 01/11</x:v>
      </x:c>
      <x:c r="B7" s="14" t="n">
        <x:v>46143</x:v>
      </x:c>
      <x:c r="C7" s="1"/>
      <x:c r="D7" s="1"/>
      <x:c r="E7" s="1"/>
      <x:c r="F7" s="1"/>
      <x:c r="G7" s="1"/>
    </x:row>
    <x:row r="8" ht="25" customHeight="1">
      <x:c r="A8" s="1" t="str">
        <x:v>Último día incluido: corte o cese</x:v>
      </x:c>
      <x:c r="B8" s="14" t="n">
        <x:v>46326</x:v>
      </x:c>
      <x:c r="C8" s="1"/>
      <x:c r="D8" s="1"/>
      <x:c r="E8" s="1"/>
      <x:c r="F8" s="1"/>
      <x:c r="G8" s="1"/>
    </x:row>
    <x:row r="9" ht="25" customHeight="1">
      <x:c r="A9" s="1"/>
      <x:c r="B9" s="1"/>
      <x:c r="C9" s="1"/>
      <x:c r="D9" s="1"/>
      <x:c r="E9" s="1"/>
      <x:c r="F9" s="1"/>
      <x:c r="G9" s="1"/>
    </x:row>
    <x:row r="10" ht="25" customHeight="1">
      <x:c r="A10" s="1" t="str">
        <x:v>Gratificación: Manual o Histórica</x:v>
      </x:c>
      <x:c r="B10" s="5" t="str">
        <x:v>Manual</x:v>
      </x:c>
      <x:c r="C10" s="1"/>
      <x:c r="D10" s="1"/>
      <x:c r="E10" s="1"/>
      <x:c r="F10" s="1"/>
      <x:c r="G10" s="1"/>
    </x:row>
    <x:row r="11" ht="25" customHeight="1">
      <x:c r="A11" s="1" t="str">
        <x:v>RC histórica de gratificación, sin bono</x:v>
      </x:c>
      <x:c r="B11" s="5" t="n">
        <x:v>3000</x:v>
      </x:c>
      <x:c r="C11" s="1"/>
      <x:c r="D11" s="1"/>
      <x:c r="E11" s="1"/>
      <x:c r="F11" s="1"/>
      <x:c r="G11" s="1"/>
    </x:row>
    <x:row r="12" ht="25" customHeight="1">
      <x:c r="A12" s="1" t="str">
        <x:v>Meses calendario completos de gratificación (0–6)</x:v>
      </x:c>
      <x:c r="B12" s="5" t="n">
        <x:v>6</x:v>
      </x:c>
      <x:c r="C12" s="1"/>
      <x:c r="D12" s="1"/>
      <x:c r="E12" s="1"/>
      <x:c r="F12" s="1"/>
      <x:c r="G12" s="1"/>
    </x:row>
    <x:row r="13" ht="25" customHeight="1">
      <x:c r="A13" s="1" t="str">
        <x:v>Días no computables de esos meses</x:v>
      </x:c>
      <x:c r="B13" s="5" t="n">
        <x:v>0</x:v>
      </x:c>
      <x:c r="C13" s="1"/>
      <x:c r="D13" s="1"/>
      <x:c r="E13" s="1"/>
      <x:c r="F13" s="1"/>
      <x:c r="G13" s="1"/>
    </x:row>
    <x:row r="14" ht="25" customHeight="1">
      <x:c r="A14" s="1" t="str">
        <x:v>¿Monto calculado coincide con lo percibido?</x:v>
      </x:c>
      <x:c r="B14" s="5" t="str">
        <x:v>No</x:v>
      </x:c>
      <x:c r="C14" s="1"/>
      <x:c r="D14" s="1"/>
      <x:c r="E14" s="1"/>
      <x:c r="F14" s="1"/>
      <x:c r="G14" s="1"/>
    </x:row>
    <x:row r="15" ht="25" customHeight="1">
      <x:c r="A15" s="1"/>
      <x:c r="B15" s="1"/>
      <x:c r="C15" s="1"/>
      <x:c r="D15" s="1"/>
      <x:c r="E15" s="1"/>
      <x:c r="F15" s="1"/>
      <x:c r="G15" s="1"/>
    </x:row>
    <x:row r="16" ht="25" customHeight="1">
      <x:c r="A16" s="1" t="str">
        <x:v>Estado del tiempo</x:v>
      </x:c>
      <x:c r="B16" s="1" t="str">
        <x:f>IF(B5&lt;&gt;"Fechas",IF(B5="Manual","MANUAL","REVISAR"),IF(COUNT(B6:B8)&lt;&gt;3,"DATOS INVÁLIDOS",IF(OR(MIN(B6:B8)&lt;DATE(1901,1,1),MAX(B6:B8)&gt;DATE(2100,12,31)),"DATOS INVÁLIDOS",IF(B5="Manual","MANUAL",IF(B5&lt;&gt;"Fechas","REVISAR",IF(COUNT(B6:B8)&lt;&gt;3,"DATOS INVÁLIDOS",IF(OR(B6&lt;DATE(1901,1,1),B8&gt;DATE(2100,12,31),B6&lt;&gt;INT(B6),B7&lt;&gt;INT(B7),B8&lt;&gt;INT(B8),B6&gt;B8,DAY(B7)&lt;&gt;1,AND(MONTH(B7)&lt;&gt;5,MONTH(B7)&lt;&gt;11),B8&lt;B7,B8&gt;=EDATE(B7,6)),"DATOS INVÁLIDOS",IF(OR(DAY(MAX(B6,B7))=31,AND(MONTH(MAX(B6,B7))=2,DAY(MAX(B6,B7))&lt;&gt;1),AND(MONTH(B8)=2,B8&lt;&gt;EOMONTH(B8,0))),"REVISAR FECHAS","OK"))))))))</x:f>
        <x:v>MANUAL</x:v>
      </x:c>
      <x:c r="C16" s="1"/>
      <x:c r="D16" s="1"/>
      <x:c r="E16" s="1"/>
      <x:c r="F16" s="1"/>
      <x:c r="G16" s="1"/>
    </x:row>
    <x:row r="17" ht="25" customHeight="1">
      <x:c r="A17" s="1" t="str">
        <x:v>Inicio efectivo</x:v>
      </x:c>
      <x:c r="B17" s="15" t="str">
        <x:f>IF(B16="OK",MAX(B6,B7),"")</x:f>
      </x:c>
      <x:c r="C17" s="1"/>
      <x:c r="D17" s="1"/>
      <x:c r="E17" s="1"/>
      <x:c r="F17" s="1"/>
      <x:c r="G17" s="1"/>
    </x:row>
    <x:row r="18" ht="25" customHeight="1">
      <x:c r="A18" s="1" t="str">
        <x:v>Días convencionales brutos</x:v>
      </x:c>
      <x:c r="B18" s="1" t="str">
        <x:f>IF(B16="OK",(YEAR(B8)*12+MONTH(B8)-YEAR(B17)*12-MONTH(B17))*30+IF(B8=EOMONTH(B8,0),30,MIN(30,DAY(B8)))-DAY(B17)+1,"")</x:f>
      </x:c>
      <x:c r="C18" s="1"/>
      <x:c r="D18" s="1"/>
      <x:c r="E18" s="1"/>
      <x:c r="F18" s="1"/>
      <x:c r="G18" s="1"/>
    </x:row>
    <x:row r="19" ht="25" customHeight="1">
      <x:c r="A19" s="1" t="str">
        <x:v>Meses</x:v>
      </x:c>
      <x:c r="B19" s="1" t="str">
        <x:f>IF(B16="OK",INT(B18/30),"")</x:f>
      </x:c>
      <x:c r="C19" s="1"/>
      <x:c r="D19" s="1"/>
      <x:c r="E19" s="1"/>
      <x:c r="F19" s="1"/>
      <x:c r="G19" s="1"/>
    </x:row>
    <x:row r="20" ht="25" customHeight="1">
      <x:c r="A20" s="1" t="str">
        <x:v>Días adicionales</x:v>
      </x:c>
      <x:c r="B20" s="1" t="str">
        <x:f>IF(B16="OK",MOD(B18,30),"")</x:f>
      </x:c>
      <x:c r="C20" s="1"/>
      <x:c r="D20" s="1"/>
      <x:c r="E20" s="1"/>
      <x:c r="F20" s="1"/>
      <x:c r="G20" s="1"/>
    </x:row>
    <x:row r="21" ht="25" customHeight="1">
      <x:c r="A21" s="1" t="str">
        <x:v>Mes mínimo de vínculo</x:v>
      </x:c>
      <x:c r="B21" s="1" t="str">
        <x:f>IF(B16="OK",IF(EDATE(B6,1)&lt;=B8+1,"Sí","No"),"")</x:f>
      </x:c>
      <x:c r="C21" s="1"/>
      <x:c r="D21" s="1"/>
      <x:c r="E21" s="1"/>
      <x:c r="F21" s="1"/>
      <x:c r="G21" s="1"/>
    </x:row>
    <x:row r="22" ht="25" customHeight="1">
      <x:c r="A22" s="1"/>
      <x:c r="B22" s="1"/>
      <x:c r="C22" s="1"/>
      <x:c r="D22" s="1"/>
      <x:c r="E22" s="1"/>
      <x:c r="F22" s="1"/>
      <x:c r="G22" s="1"/>
    </x:row>
    <x:row r="23" ht="25" customHeight="1">
      <x:c r="A23" s="1" t="str">
        <x:v>Estado de gratificación</x:v>
      </x:c>
      <x:c r="B23" s="1" t="str">
        <x:f>IF(B10="Manual","MANUAL",IF(B10&lt;&gt;"Histórica","REVISAR",IF(COUNT(B11:B13)&lt;&gt;3,"DATOS INVÁLIDOS",IF(OR(B11&lt;0,B12&lt;0,B12&gt;6,B12&lt;&gt;INT(B12),B13&lt;0,B13&lt;&gt;INT(B13),B13&gt;B12*30),"DATOS INVÁLIDOS",IF(AND(CTS!B10&lt;&gt;"General 728",CTS!B10&lt;&gt;"Pequeña REMYPE",CTS!B10&lt;&gt;"Hogar"),"REVISAR",IF(B14&lt;&gt;"Sí","CONFIRMAR PERCIBIDO","OK"))))))</x:f>
        <x:v>MANUAL</x:v>
      </x:c>
      <x:c r="C23" s="1"/>
      <x:c r="D23" s="1"/>
      <x:c r="E23" s="1"/>
      <x:c r="F23" s="1"/>
      <x:c r="G23" s="1"/>
    </x:row>
    <x:row r="24" ht="25" customHeight="1">
      <x:c r="A24" s="1" t="str">
        <x:v>Gratificación histórica calculada</x:v>
      </x:c>
      <x:c r="B24" s="1" t="str">
        <x:f>IF(B23="OK",ROUND(B11*(B12/6-B13/180)*IF(CTS!B10="Pequeña REMYPE",0.5,1),2),"")</x:f>
      </x:c>
      <x:c r="C24" s="1"/>
      <x:c r="D24" s="1"/>
      <x:c r="E24" s="1"/>
      <x:c r="F24" s="1"/>
      <x:c r="G24" s="1"/>
    </x:row>
    <x:row r="25" ht="25" customHeight="1">
      <x:c r="A25" s="1"/>
      <x:c r="B25" s="1"/>
      <x:c r="C25" s="1"/>
      <x:c r="D25" s="1"/>
      <x:c r="E25" s="1"/>
      <x:c r="F25" s="1"/>
      <x:c r="G25" s="1"/>
    </x:row>
    <x:row r="26" ht="25" customHeight="1">
      <x:c r="A26" s="1"/>
      <x:c r="B26" s="1"/>
      <x:c r="C26" s="1"/>
      <x:c r="D26" s="1"/>
      <x:c r="E26" s="1"/>
      <x:c r="F26" s="1"/>
      <x:c r="G26" s="1"/>
    </x:row>
    <x:row r="27" ht="25" customHeight="1">
      <x:c r="A27" s="1" t="str">
        <x:v>Fechas incluye ingreso y último día. El corte puede ser el cese.</x:v>
      </x:c>
      <x:c r="B27" s="1"/>
      <x:c r="C27" s="1"/>
      <x:c r="D27" s="1"/>
      <x:c r="E27" s="1"/>
      <x:c r="F27" s="1"/>
      <x:c r="G27" s="1"/>
    </x:row>
    <x:row r="28" ht="25" customHeight="1">
      <x:c r="A28" s="1" t="str">
        <x:v>Cada mes completo vale 30; extremos ordinarios: treintavos.</x:v>
      </x:c>
      <x:c r="B28" s="1"/>
      <x:c r="C28" s="1"/>
      <x:c r="D28" s="1"/>
      <x:c r="E28" s="1"/>
      <x:c r="F28" s="1"/>
      <x:c r="G28" s="1"/>
    </x:row>
    <x:row r="29" ht="25" customHeight="1">
      <x:c r="A29" s="1" t="str">
        <x:v>Inicio día 31 o febrero parcial: revisar; usar tiempo manual validado.</x:v>
      </x:c>
      <x:c r="B29" s="1"/>
      <x:c r="C29" s="1"/>
      <x:c r="D29" s="1"/>
      <x:c r="E29" s="1"/>
      <x:c r="F29" s="1"/>
      <x:c r="G29" s="1"/>
    </x:row>
    <x:row r="30" ht="25" customHeight="1">
      <x:c r="A30" s="1" t="str">
        <x:v>Sin arrastres de períodos anteriores: liquidarlos con revisión separada.</x:v>
      </x:c>
      <x:c r="B30" s="1"/>
      <x:c r="C30" s="1"/>
      <x:c r="D30" s="1"/>
      <x:c r="E30" s="1"/>
      <x:c r="F30" s="1"/>
      <x:c r="G30" s="1"/>
    </x:row>
    <x:row r="31" ht="25" customHeight="1">
      <x:c r="A31" s="1" t="str">
        <x:v>Gratificación: julio usa enero–junio; diciembre usa julio–diciembre.</x:v>
      </x:c>
      <x:c r="B31" s="1"/>
      <x:c r="C31" s="1"/>
      <x:c r="D31" s="1"/>
      <x:c r="E31" s="1"/>
      <x:c r="F31" s="1"/>
      <x:c r="G31" s="1"/>
    </x:row>
    <x:row r="32" ht="25" customHeight="1">
      <x:c r="A32" s="1" t="str">
        <x:v>RC histórica: junio / noviembre; no sustituir por el sueldo actual.</x:v>
      </x:c>
      <x:c r="B32" s="1"/>
      <x:c r="C32" s="1"/>
      <x:c r="D32" s="1"/>
      <x:c r="E32" s="1"/>
      <x:c r="F32" s="1"/>
      <x:c r="G32" s="1"/>
    </x:row>
    <x:row r="33" ht="25" customHeight="1">
      <x:c r="A33" s="1" t="str">
        <x:v>Ingresar meses calendario completos, no meses CTS; excluir bono 9%/6.75%.</x:v>
      </x:c>
      <x:c r="B33" s="1"/>
      <x:c r="C33" s="1"/>
      <x:c r="D33" s="1"/>
      <x:c r="E33" s="1"/>
      <x:c r="F33" s="1"/>
      <x:c r="G33" s="1"/>
    </x:row>
    <x:row r="34" ht="25" customHeight="1">
      <x:c r="A34" s="1" t="str">
        <x:v>Calcular la RC histórica y clasificar ausencias exige sustento de planilla.</x:v>
      </x:c>
      <x:c r="B34" s="1"/>
      <x:c r="C34" s="1"/>
      <x:c r="D34" s="1"/>
      <x:c r="E34" s="1"/>
      <x:c r="F34" s="1"/>
      <x:c r="G34" s="1"/>
    </x:row>
    <x:row r="35" ht="25" customHeight="1">
      <x:c r="A35" s="1" t="str">
        <x:v>Confirmar percibido solo si coincide con la boleta; si difiere, usar Manual.</x:v>
      </x:c>
      <x:c r="B35" s="1"/>
      <x:c r="C35" s="1"/>
      <x:c r="D35" s="1"/>
      <x:c r="E35" s="1"/>
      <x:c r="F35" s="1"/>
      <x:c r="G35" s="1"/>
    </x:row>
    <x:row r="36" ht="25" customHeight="1">
      <x:c r="A36" s="1" t="str">
        <x:v>Un corte futuro es una proyección, no tiempo ya devengado.</x:v>
      </x:c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</x:sheetData>
  <x:mergeCells>
    <x:mergeCell ref="A27:G27"/>
    <x:mergeCell ref="A28:G28"/>
    <x:mergeCell ref="A29:G29"/>
    <x:mergeCell ref="A30:G30"/>
    <x:mergeCell ref="A31:G31"/>
    <x:mergeCell ref="A32:G32"/>
    <x:mergeCell ref="A33:G33"/>
    <x:mergeCell ref="A34:G34"/>
    <x:mergeCell ref="A35:G35"/>
    <x:mergeCell ref="A36:G36"/>
  </x:mergeCells>
  <x:dataValidations count="3">
    <x:dataValidation type="list" sqref="B5">
      <x:formula1>"Manual,Fechas"</x:formula1>
    </x:dataValidation>
    <x:dataValidation type="list" sqref="B10">
      <x:formula1>"Manual,Histórica"</x:formula1>
    </x:dataValidation>
    <x:dataValidation type="list" sqref="B14">
      <x:formula1>"Sí,No"</x:formula1>
    </x:dataValidation>
  </x:dataValidations>
  <x:pageMargins left="0.7" right="0.7" top="0.75" bottom="0.75" header="0.3" footer="0.3"/>
</x:worksheet>
</file>